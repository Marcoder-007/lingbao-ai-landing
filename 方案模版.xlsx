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6660"/>
  </bookViews>
  <sheets>
    <sheet name="现金流" sheetId="1" r:id="rId1"/>
    <sheet name="三个保单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<sst xmlns="http://schemas.openxmlformats.org/spreadsheetml/2006/main" count="149" uniqueCount="114">
  <si>
    <t>年份</t>
  </si>
  <si>
    <t>年</t>
  </si>
  <si>
    <t>太太岁数</t>
  </si>
  <si>
    <t>先生岁数</t>
  </si>
  <si>
    <t>孩子年龄</t>
  </si>
  <si>
    <t>年级</t>
  </si>
  <si>
    <t>通胀前费用</t>
  </si>
  <si>
    <t>通胀后费用</t>
  </si>
  <si>
    <t>支出项</t>
  </si>
  <si>
    <t>收入-资产项</t>
  </si>
  <si>
    <t>当年收支结余/缺口</t>
  </si>
  <si>
    <t>当年收支结余正负</t>
  </si>
  <si>
    <t>账户提供比例</t>
  </si>
  <si>
    <t>账户提供情况</t>
  </si>
  <si>
    <t>账户预期收益率</t>
  </si>
  <si>
    <t>账户投入情况</t>
  </si>
  <si>
    <t>账户价值</t>
  </si>
  <si>
    <t>教育费用合计
（通胀前）</t>
  </si>
  <si>
    <t>教育费用合计
（通胀后）</t>
  </si>
  <si>
    <t>养老总费用（通胀前）</t>
  </si>
  <si>
    <t>养老总费用（通胀后）</t>
  </si>
  <si>
    <t>政府养
老金提供</t>
  </si>
  <si>
    <t>养老金自费</t>
  </si>
  <si>
    <t>房贷</t>
  </si>
  <si>
    <t>旅游花销</t>
  </si>
  <si>
    <t>日常开销</t>
  </si>
  <si>
    <t>花销1</t>
  </si>
  <si>
    <t>花销2</t>
  </si>
  <si>
    <t>已有保单1缴费</t>
  </si>
  <si>
    <t>已有保单2缴费</t>
  </si>
  <si>
    <t>已有保单3缴费</t>
  </si>
  <si>
    <t>通胀系数</t>
  </si>
  <si>
    <t>总花销</t>
  </si>
  <si>
    <t>每年净收入</t>
  </si>
  <si>
    <t>资产</t>
  </si>
  <si>
    <t>收入1</t>
  </si>
  <si>
    <t>收入2</t>
  </si>
  <si>
    <t>收入3</t>
  </si>
  <si>
    <t>总收入</t>
  </si>
  <si>
    <t>现金账户提供</t>
  </si>
  <si>
    <t>教育基金提供</t>
  </si>
  <si>
    <t>养老基金提供</t>
  </si>
  <si>
    <t>教育港险提供</t>
  </si>
  <si>
    <t>保诚港险提供</t>
  </si>
  <si>
    <t>太平洋港险提供</t>
  </si>
  <si>
    <t>都会20年交保单提供</t>
  </si>
  <si>
    <t>都会5年交保单提供</t>
  </si>
  <si>
    <t>都会10年交保单提供</t>
  </si>
  <si>
    <t>现金价值收益率
（非保证）</t>
  </si>
  <si>
    <t>教育基金账户收益率（非保证）</t>
  </si>
  <si>
    <t>养老基金收益率（非保证）</t>
  </si>
  <si>
    <t>教育港险预期收益率
（非保证）</t>
  </si>
  <si>
    <t>保诚港险预期收益率
（非保证）</t>
  </si>
  <si>
    <t>太平洋港险收益率（非保证）</t>
  </si>
  <si>
    <t>都会20年交保单收益率</t>
  </si>
  <si>
    <t>都会5年交保单收益率</t>
  </si>
  <si>
    <t>都会10年交保单收益率</t>
  </si>
  <si>
    <t>现金账户投入</t>
  </si>
  <si>
    <t>教育基金投入</t>
  </si>
  <si>
    <t>养老基金投入</t>
  </si>
  <si>
    <t>教育港险投入</t>
  </si>
  <si>
    <t>保诚港险投入</t>
  </si>
  <si>
    <t>太平洋账户投入</t>
  </si>
  <si>
    <t>总投入</t>
  </si>
  <si>
    <t>总结余账户</t>
  </si>
  <si>
    <t>总现金流账户收益率</t>
  </si>
  <si>
    <t>现金账户
（非保证）</t>
  </si>
  <si>
    <t>教育基金账户
（非保证）</t>
  </si>
  <si>
    <t>养老基金账户
（非保证）</t>
  </si>
  <si>
    <t>教育港险账户价值
（非保证）</t>
  </si>
  <si>
    <t>保诚减保前价值</t>
  </si>
  <si>
    <t>友邦账户增速</t>
  </si>
  <si>
    <t>友邦账户累计增速</t>
  </si>
  <si>
    <t>保诚港险账户价值
（非保证）</t>
  </si>
  <si>
    <t>太平洋减保前价值</t>
  </si>
  <si>
    <t>太平洋港险账户
（非保证）</t>
  </si>
  <si>
    <t>国寿折现价值</t>
  </si>
  <si>
    <t>国寿账户增速</t>
  </si>
  <si>
    <t>国寿账户累计增速</t>
  </si>
  <si>
    <t>都会20年交保单账户</t>
  </si>
  <si>
    <t>都会20年交保单账户（减保前）</t>
  </si>
  <si>
    <t>都会5年交保单账户
（非保证）</t>
  </si>
  <si>
    <t>已有保单2账户（减保前）</t>
  </si>
  <si>
    <t>都会10年交保单账户
（非保证）</t>
  </si>
  <si>
    <t>都会10年交保单账户（减保前）</t>
  </si>
  <si>
    <t>小班</t>
  </si>
  <si>
    <t/>
  </si>
  <si>
    <t>中班</t>
  </si>
  <si>
    <t>大班</t>
  </si>
  <si>
    <t>一年级</t>
  </si>
  <si>
    <t>二年级</t>
  </si>
  <si>
    <t>三年级</t>
  </si>
  <si>
    <t>四年级</t>
  </si>
  <si>
    <t>五年级</t>
  </si>
  <si>
    <t>六年级</t>
  </si>
  <si>
    <t>初一</t>
  </si>
  <si>
    <t>初二</t>
  </si>
  <si>
    <t>初三</t>
  </si>
  <si>
    <t>高一</t>
  </si>
  <si>
    <t>高二</t>
  </si>
  <si>
    <t>高三</t>
  </si>
  <si>
    <t>本一</t>
  </si>
  <si>
    <t>本二</t>
  </si>
  <si>
    <t>本三</t>
  </si>
  <si>
    <t>本四</t>
  </si>
  <si>
    <t>硕一</t>
  </si>
  <si>
    <t>20年交</t>
  </si>
  <si>
    <t>5年交</t>
  </si>
  <si>
    <t>10年交</t>
  </si>
  <si>
    <t>年度末</t>
  </si>
  <si>
    <t>年交保费</t>
  </si>
  <si>
    <t>现金价值</t>
  </si>
  <si>
    <t>IRR</t>
  </si>
  <si>
    <t>50%分红现金价值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</si>
</sst>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_);[Red]\(&quot;￥&quot;#,##0\)"/>
    <numFmt numFmtId="177" formatCode="0.00_);[Red]\(0.00\)"/>
    <numFmt numFmtId="178" formatCode="0_);[Red]\(0\)"/>
    <numFmt numFmtId="179" formatCode="0.0%"/>
  </numFmts>
  <fonts count="30">
    <font>
      <sz val="11"/>
      <color theme="1"/>
      <name val="宋体"/>
      <charset val="134"/>
      <scheme val="minor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sz val="11"/>
      <color theme="1"/>
      <name val="宋体"/>
      <charset val="134"/>
    </font>
    <font>
      <b/>
      <sz val="11"/>
      <color theme="0"/>
      <name val="微软雅黑"/>
      <charset val="134"/>
    </font>
    <font>
      <b/>
      <sz val="11"/>
      <color theme="1"/>
      <name val="宋体"/>
      <charset val="134"/>
      <scheme val="minor"/>
    </font>
    <font>
      <b/>
      <sz val="11"/>
      <name val="微软雅黑"/>
      <charset val="134"/>
    </font>
    <font>
      <sz val="11"/>
      <name val="宋体"/>
      <charset val="134"/>
      <scheme val="minor"/>
    </font>
    <font>
      <b/>
      <sz val="11"/>
      <color rgb="FFFF0000"/>
      <name val="微软雅黑"/>
      <charset val="134"/>
    </font>
    <font>
      <sz val="11"/>
      <color rgb="FFEAEAEA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6F3D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11" borderId="8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9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8" fillId="0" borderId="0">
      <alignment vertical="center"/>
    </xf>
    <xf numFmtId="0" fontId="19" fillId="12" borderId="11">
      <alignment vertical="center"/>
    </xf>
    <xf numFmtId="0" fontId="20" fillId="10" borderId="12">
      <alignment vertical="center"/>
    </xf>
    <xf numFmtId="0" fontId="21" fillId="10" borderId="11">
      <alignment vertical="center"/>
    </xf>
    <xf numFmtId="0" fontId="22" fillId="13" borderId="13">
      <alignment vertical="center"/>
    </xf>
    <xf numFmtId="0" fontId="23" fillId="0" borderId="14">
      <alignment vertical="center"/>
    </xf>
    <xf numFmtId="0" fontId="24" fillId="0" borderId="15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8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9" fillId="34" borderId="0">
      <alignment vertical="center"/>
    </xf>
    <xf numFmtId="0" fontId="29" fillId="35" borderId="0">
      <alignment vertical="center"/>
    </xf>
    <xf numFmtId="0" fontId="28" fillId="36" borderId="0">
      <alignment vertical="center"/>
    </xf>
    <xf numFmtId="0" fontId="28" fillId="37" borderId="0">
      <alignment vertical="center"/>
    </xf>
    <xf numFmtId="0" fontId="29" fillId="38" borderId="0">
      <alignment vertical="center"/>
    </xf>
    <xf numFmtId="0" fontId="29" fillId="39" borderId="0">
      <alignment vertical="center"/>
    </xf>
    <xf numFmtId="0" fontId="28" fillId="40" borderId="0">
      <alignment vertical="center"/>
    </xf>
  </cellStyleXfs>
  <cellXfs count="6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0" fontId="0" fillId="0" borderId="1" xfId="3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176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>
      <alignment vertical="center"/>
    </xf>
    <xf numFmtId="176" fontId="5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176" fontId="7" fillId="4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176" fontId="7" fillId="5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9" fontId="7" fillId="5" borderId="1" xfId="3" applyNumberFormat="1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76" fontId="7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179" fontId="7" fillId="3" borderId="1" xfId="3" applyNumberFormat="1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176" fontId="7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176" fontId="7" fillId="9" borderId="1" xfId="0" applyNumberFormat="1" applyFont="1" applyFill="1" applyBorder="1" applyAlignment="1">
      <alignment horizontal="center" vertical="center"/>
    </xf>
    <xf numFmtId="10" fontId="7" fillId="8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/>
    </xf>
    <xf numFmtId="176" fontId="7" fillId="8" borderId="1" xfId="0" applyNumberFormat="1" applyFont="1" applyFill="1" applyBorder="1" applyAlignment="1">
      <alignment horizontal="center" vertical="center"/>
    </xf>
    <xf numFmtId="176" fontId="9" fillId="10" borderId="1" xfId="0" applyNumberFormat="1" applyFont="1" applyFill="1" applyBorder="1" applyAlignment="1">
      <alignment horizontal="center" vertical="center"/>
    </xf>
    <xf numFmtId="176" fontId="10" fillId="10" borderId="1" xfId="0" applyNumberFormat="1" applyFont="1" applyFill="1" applyBorder="1" applyAlignment="1">
      <alignment horizontal="center" vertical="center"/>
    </xf>
    <xf numFmtId="10" fontId="10" fillId="10" borderId="1" xfId="0" applyNumberFormat="1" applyFont="1" applyFill="1" applyBorder="1" applyAlignment="1">
      <alignment horizontal="center" vertical="center"/>
    </xf>
    <xf numFmtId="177" fontId="10" fillId="10" borderId="1" xfId="0" applyNumberFormat="1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I51"/>
  <sheetViews>
    <sheetView tabSelected="1" zoomScale="107" zoomScaleNormal="107" workbookViewId="0">
      <pane xSplit="5" ySplit="2" topLeftCell="AS28" activePane="bottomRight" state="frozen"/>
      <selection/>
      <selection pane="topRight"/>
      <selection pane="bottomLeft"/>
      <selection pane="bottomRight" activeCell="G7" sqref="G7"/>
    </sheetView>
  </sheetViews>
  <sheetFormatPr defaultColWidth="9" defaultRowHeight="16.8"/>
  <cols>
    <col min="1" max="2" width="9.77884615384615" style="4" customWidth="1"/>
    <col min="3" max="3" width="10.8846153846154" style="4" customWidth="1"/>
    <col min="4" max="5" width="8.88461538461539" style="8"/>
    <col min="6" max="6" width="10.3365384615385" style="4" customWidth="1"/>
    <col min="7" max="8" width="13.2211538461538" style="4" customWidth="1"/>
    <col min="9" max="10" width="15" style="8" customWidth="1"/>
    <col min="11" max="11" width="14.1153846153846" style="8" customWidth="1"/>
    <col min="12" max="12" width="13.9615384615385" style="8" customWidth="1"/>
    <col min="13" max="13" width="15.875" style="8" customWidth="1"/>
    <col min="14" max="22" width="15" style="8" customWidth="1"/>
    <col min="23" max="23" width="11.8846153846154" style="4" customWidth="1"/>
    <col min="24" max="30" width="15" style="8" customWidth="1"/>
    <col min="31" max="31" width="18.7307692307692" style="8" customWidth="1"/>
    <col min="32" max="37" width="15" style="8" customWidth="1"/>
    <col min="38" max="38" width="17.125" style="8" customWidth="1"/>
    <col min="39" max="46" width="15" style="8" customWidth="1"/>
    <col min="47" max="47" width="18.6634615384615" style="8" customWidth="1"/>
    <col min="48" max="50" width="15" style="8" customWidth="1"/>
    <col min="51" max="51" width="16.6538461538462" style="8" customWidth="1"/>
    <col min="52" max="52" width="18.7307692307692" style="8" customWidth="1"/>
    <col min="53" max="53" width="16.1826923076923" style="8" customWidth="1"/>
    <col min="54" max="54" width="20.4711538461538" style="8" customWidth="1"/>
    <col min="55" max="55" width="20.9519230769231" style="8" customWidth="1"/>
    <col min="56" max="56" width="16.6538461538462" style="8" customWidth="1"/>
    <col min="57" max="57" width="19.0384615384615" style="8" customWidth="1"/>
    <col min="58" max="58" width="16.8269230769231" style="8" customWidth="1"/>
    <col min="59" max="59" width="18.0961538461538" style="8" customWidth="1"/>
    <col min="60" max="64" width="15" style="4" customWidth="1"/>
    <col min="65" max="65" width="18.4038461538462" style="4" customWidth="1"/>
    <col min="66" max="66" width="15" style="4" customWidth="1"/>
    <col min="67" max="71" width="15" style="8" customWidth="1"/>
    <col min="72" max="72" width="17.5" style="9" customWidth="1"/>
    <col min="73" max="75" width="15" style="9" customWidth="1"/>
    <col min="76" max="77" width="17.5" style="9" customWidth="1"/>
    <col min="78" max="78" width="16.5" style="9" customWidth="1"/>
    <col min="79" max="81" width="15" style="9" customWidth="1"/>
    <col min="82" max="87" width="17.5" style="9" customWidth="1"/>
  </cols>
  <sheetData>
    <row r="1" ht="26" customHeight="1" spans="1:87">
      <c r="A1" s="10" t="s">
        <v>0</v>
      </c>
      <c r="B1" s="10" t="s">
        <v>1</v>
      </c>
      <c r="C1" s="10" t="s">
        <v>2</v>
      </c>
      <c r="D1" s="10" t="s">
        <v>3</v>
      </c>
      <c r="E1" s="13" t="s">
        <v>4</v>
      </c>
      <c r="F1" s="14" t="s">
        <v>5</v>
      </c>
      <c r="G1" s="14" t="s">
        <v>6</v>
      </c>
      <c r="H1" s="14" t="s">
        <v>7</v>
      </c>
      <c r="I1" s="18" t="s">
        <v>8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25" t="s">
        <v>9</v>
      </c>
      <c r="Z1" s="26"/>
      <c r="AA1" s="26"/>
      <c r="AB1" s="26"/>
      <c r="AC1" s="26"/>
      <c r="AD1" s="26"/>
      <c r="AE1" s="29" t="s">
        <v>10</v>
      </c>
      <c r="AF1" s="29" t="s">
        <v>11</v>
      </c>
      <c r="AG1" s="33" t="s">
        <v>12</v>
      </c>
      <c r="AH1" s="34"/>
      <c r="AI1" s="34"/>
      <c r="AJ1" s="34"/>
      <c r="AK1" s="34"/>
      <c r="AL1" s="34"/>
      <c r="AM1" s="34"/>
      <c r="AN1" s="34"/>
      <c r="AO1" s="37"/>
      <c r="AP1" s="38" t="s">
        <v>13</v>
      </c>
      <c r="AQ1" s="38"/>
      <c r="AR1" s="38"/>
      <c r="AS1" s="38"/>
      <c r="AT1" s="38"/>
      <c r="AU1" s="38"/>
      <c r="AV1" s="38"/>
      <c r="AW1" s="38"/>
      <c r="AX1" s="38"/>
      <c r="AY1" s="41" t="s">
        <v>14</v>
      </c>
      <c r="AZ1" s="41"/>
      <c r="BA1" s="41"/>
      <c r="BB1" s="41"/>
      <c r="BC1" s="41"/>
      <c r="BD1" s="41"/>
      <c r="BE1" s="41"/>
      <c r="BF1" s="41"/>
      <c r="BG1" s="41"/>
      <c r="BH1" s="44" t="s">
        <v>15</v>
      </c>
      <c r="BI1" s="44"/>
      <c r="BJ1" s="44"/>
      <c r="BK1" s="44"/>
      <c r="BL1" s="44"/>
      <c r="BM1" s="44"/>
      <c r="BN1" s="45"/>
      <c r="BO1" s="49" t="s">
        <v>16</v>
      </c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s="50"/>
      <c r="CD1" s="50"/>
      <c r="CE1" s="50"/>
      <c r="CF1" s="50"/>
      <c r="CG1" s="50"/>
      <c r="CH1" s="50"/>
      <c r="CI1" s="61"/>
    </row>
    <row r="2" ht="51" spans="1:87">
      <c r="A2" s="10"/>
      <c r="B2" s="10"/>
      <c r="C2" s="10"/>
      <c r="D2" s="10"/>
      <c r="E2" s="15"/>
      <c r="F2" s="16"/>
      <c r="G2" s="16"/>
      <c r="H2" s="16"/>
      <c r="I2" s="18" t="s">
        <v>17</v>
      </c>
      <c r="J2" s="18" t="s">
        <v>18</v>
      </c>
      <c r="K2" s="18" t="s">
        <v>19</v>
      </c>
      <c r="L2" s="18" t="s">
        <v>20</v>
      </c>
      <c r="M2" s="18" t="s">
        <v>21</v>
      </c>
      <c r="N2" s="23" t="s">
        <v>22</v>
      </c>
      <c r="O2" s="23" t="s">
        <v>23</v>
      </c>
      <c r="P2" s="23" t="s">
        <v>24</v>
      </c>
      <c r="Q2" s="18" t="s">
        <v>25</v>
      </c>
      <c r="R2" s="18" t="s">
        <v>26</v>
      </c>
      <c r="S2" s="18" t="s">
        <v>27</v>
      </c>
      <c r="T2" s="18" t="s">
        <v>28</v>
      </c>
      <c r="U2" s="18" t="s">
        <v>29</v>
      </c>
      <c r="V2" s="18" t="s">
        <v>30</v>
      </c>
      <c r="W2" s="18" t="s">
        <v>31</v>
      </c>
      <c r="X2" s="18" t="s">
        <v>32</v>
      </c>
      <c r="Y2" s="27" t="s">
        <v>33</v>
      </c>
      <c r="Z2" s="27" t="s">
        <v>34</v>
      </c>
      <c r="AA2" s="27" t="s">
        <v>35</v>
      </c>
      <c r="AB2" s="27" t="s">
        <v>36</v>
      </c>
      <c r="AC2" s="30" t="s">
        <v>37</v>
      </c>
      <c r="AD2" s="30" t="s">
        <v>38</v>
      </c>
      <c r="AE2" s="29"/>
      <c r="AF2" s="29"/>
      <c r="AG2" s="35" t="s">
        <v>39</v>
      </c>
      <c r="AH2" s="35" t="s">
        <v>40</v>
      </c>
      <c r="AI2" s="35" t="s">
        <v>41</v>
      </c>
      <c r="AJ2" s="35" t="s">
        <v>42</v>
      </c>
      <c r="AK2" s="35" t="s">
        <v>43</v>
      </c>
      <c r="AL2" s="35" t="s">
        <v>44</v>
      </c>
      <c r="AM2" s="29" t="s">
        <v>45</v>
      </c>
      <c r="AN2" s="29" t="s">
        <v>46</v>
      </c>
      <c r="AO2" s="29" t="s">
        <v>47</v>
      </c>
      <c r="AP2" s="38" t="s">
        <v>39</v>
      </c>
      <c r="AQ2" s="38" t="s">
        <v>40</v>
      </c>
      <c r="AR2" s="38" t="s">
        <v>41</v>
      </c>
      <c r="AS2" s="38" t="s">
        <v>42</v>
      </c>
      <c r="AT2" s="38" t="s">
        <v>43</v>
      </c>
      <c r="AU2" s="38" t="s">
        <v>44</v>
      </c>
      <c r="AV2" s="40" t="s">
        <v>45</v>
      </c>
      <c r="AW2" s="40" t="s">
        <v>46</v>
      </c>
      <c r="AX2" s="40" t="s">
        <v>47</v>
      </c>
      <c r="AY2" s="42" t="s">
        <v>48</v>
      </c>
      <c r="AZ2" s="42" t="s">
        <v>49</v>
      </c>
      <c r="BA2" s="42" t="s">
        <v>50</v>
      </c>
      <c r="BB2" s="42" t="s">
        <v>51</v>
      </c>
      <c r="BC2" s="42" t="s">
        <v>52</v>
      </c>
      <c r="BD2" s="42" t="s">
        <v>53</v>
      </c>
      <c r="BE2" s="42" t="s">
        <v>54</v>
      </c>
      <c r="BF2" s="42" t="s">
        <v>55</v>
      </c>
      <c r="BG2" s="42" t="s">
        <v>56</v>
      </c>
      <c r="BH2" s="45" t="s">
        <v>57</v>
      </c>
      <c r="BI2" s="48" t="s">
        <v>58</v>
      </c>
      <c r="BJ2" s="48" t="s">
        <v>59</v>
      </c>
      <c r="BK2" s="48" t="s">
        <v>60</v>
      </c>
      <c r="BL2" s="48" t="s">
        <v>61</v>
      </c>
      <c r="BM2" s="48" t="s">
        <v>62</v>
      </c>
      <c r="BN2" s="48" t="s">
        <v>63</v>
      </c>
      <c r="BO2" s="51" t="s">
        <v>64</v>
      </c>
      <c r="BP2" s="52" t="s">
        <v>65</v>
      </c>
      <c r="BQ2" s="52" t="s">
        <v>66</v>
      </c>
      <c r="BR2" s="52" t="s">
        <v>67</v>
      </c>
      <c r="BS2" s="52" t="s">
        <v>68</v>
      </c>
      <c r="BT2" s="55" t="s">
        <v>69</v>
      </c>
      <c r="BU2" s="55" t="s">
        <v>70</v>
      </c>
      <c r="BV2" s="55" t="s">
        <v>71</v>
      </c>
      <c r="BW2" s="55" t="s">
        <v>72</v>
      </c>
      <c r="BX2" s="55" t="s">
        <v>73</v>
      </c>
      <c r="BY2" s="55" t="s">
        <v>74</v>
      </c>
      <c r="BZ2" s="55" t="s">
        <v>75</v>
      </c>
      <c r="CA2" s="55" t="s">
        <v>76</v>
      </c>
      <c r="CB2" s="55" t="s">
        <v>77</v>
      </c>
      <c r="CC2" s="55" t="s">
        <v>78</v>
      </c>
      <c r="CD2" s="55" t="s">
        <v>79</v>
      </c>
      <c r="CE2" s="55" t="s">
        <v>80</v>
      </c>
      <c r="CF2" s="55" t="s">
        <v>81</v>
      </c>
      <c r="CG2" s="55" t="s">
        <v>82</v>
      </c>
      <c r="CH2" s="55" t="s">
        <v>83</v>
      </c>
      <c r="CI2" s="55" t="s">
        <v>84</v>
      </c>
    </row>
    <row r="3" spans="1:87">
      <c r="A3" s="4">
        <v>2026</v>
      </c>
      <c r="B3" s="4">
        <v>1</v>
      </c>
      <c r="C3" s="4">
        <v>44</v>
      </c>
      <c r="D3" s="4">
        <v>44</v>
      </c>
      <c r="E3" s="4">
        <v>3</v>
      </c>
      <c r="F3" s="4" t="s">
        <v>85</v>
      </c>
      <c r="G3" s="17">
        <v>0</v>
      </c>
      <c r="H3" s="17">
        <v>0</v>
      </c>
      <c r="I3" s="19">
        <f t="shared" ref="I3:I22" si="0">G3</f>
        <v>0</v>
      </c>
      <c r="J3" s="19">
        <f t="shared" ref="J3:J22" si="1">H3</f>
        <v>0</v>
      </c>
      <c r="K3" s="19">
        <v>0</v>
      </c>
      <c r="L3" s="19">
        <v>0</v>
      </c>
      <c r="M3" s="19">
        <v>0</v>
      </c>
      <c r="N3" s="19">
        <f t="shared" ref="N3:N49" si="2">L3-M3</f>
        <v>0</v>
      </c>
      <c r="O3" s="19"/>
      <c r="P3" s="19"/>
      <c r="Q3" s="19"/>
      <c r="R3" s="19"/>
      <c r="S3" s="19"/>
      <c r="T3" s="19"/>
      <c r="U3" s="19"/>
      <c r="V3" s="19"/>
      <c r="W3" s="24">
        <v>1</v>
      </c>
      <c r="X3" s="19">
        <f t="shared" ref="X3:X49" si="3">SUM(N3:V3,J3)</f>
        <v>0</v>
      </c>
      <c r="Y3" s="28">
        <v>500000</v>
      </c>
      <c r="Z3" s="28">
        <v>500000</v>
      </c>
      <c r="AA3" s="28"/>
      <c r="AB3" s="28"/>
      <c r="AC3" s="28"/>
      <c r="AD3" s="28">
        <f t="shared" ref="AD3:AD49" si="4">SUM(Y3:AC3)</f>
        <v>1000000</v>
      </c>
      <c r="AE3" s="31">
        <f t="shared" ref="AE3:AE49" si="5">AD3-X3</f>
        <v>1000000</v>
      </c>
      <c r="AF3" s="32">
        <f t="shared" ref="AF3:AF49" si="6">IF(AE3&gt;0,0,-1)</f>
        <v>0</v>
      </c>
      <c r="AG3" s="36">
        <v>1</v>
      </c>
      <c r="AH3" s="36"/>
      <c r="AI3" s="36"/>
      <c r="AJ3" s="36"/>
      <c r="AK3" s="36"/>
      <c r="AL3" s="36"/>
      <c r="AM3" s="36"/>
      <c r="AN3" s="36"/>
      <c r="AO3" s="36"/>
      <c r="AP3" s="39">
        <f t="shared" ref="AP3:AX3" si="7">$AE3*AG3*$AF3</f>
        <v>0</v>
      </c>
      <c r="AQ3" s="39">
        <f t="shared" si="7"/>
        <v>0</v>
      </c>
      <c r="AR3" s="39">
        <f t="shared" si="7"/>
        <v>0</v>
      </c>
      <c r="AS3" s="39">
        <f t="shared" si="7"/>
        <v>0</v>
      </c>
      <c r="AT3" s="39">
        <f t="shared" si="7"/>
        <v>0</v>
      </c>
      <c r="AU3" s="39">
        <f t="shared" si="7"/>
        <v>0</v>
      </c>
      <c r="AV3" s="39">
        <f t="shared" si="7"/>
        <v>0</v>
      </c>
      <c r="AW3" s="39">
        <f t="shared" si="7"/>
        <v>0</v>
      </c>
      <c r="AX3" s="39">
        <f t="shared" si="7"/>
        <v>0</v>
      </c>
      <c r="AY3" s="43">
        <v>0.015</v>
      </c>
      <c r="AZ3" s="43">
        <v>0.03</v>
      </c>
      <c r="BA3" s="43">
        <v>0.03</v>
      </c>
      <c r="BB3" s="43" t="s">
        <v>86</v>
      </c>
      <c r="BC3" s="43" t="s">
        <v>86</v>
      </c>
      <c r="BD3" s="43" t="s">
        <v>86</v>
      </c>
      <c r="BE3" s="43"/>
      <c r="BF3" s="43"/>
      <c r="BG3" s="43"/>
      <c r="BH3" s="46"/>
      <c r="BI3" s="46">
        <v>610000</v>
      </c>
      <c r="BJ3" s="46">
        <v>84000</v>
      </c>
      <c r="BK3" s="46">
        <v>259000</v>
      </c>
      <c r="BL3" s="46">
        <v>23000</v>
      </c>
      <c r="BM3" s="46">
        <v>23000</v>
      </c>
      <c r="BN3" s="46">
        <f t="shared" ref="BN3:BN7" si="8">SUM(BH3:BM3)</f>
        <v>999000</v>
      </c>
      <c r="BO3" s="53">
        <f>AE3-BN3</f>
        <v>1000</v>
      </c>
      <c r="BP3" s="54">
        <v>0.015</v>
      </c>
      <c r="BQ3" s="56">
        <f>BH3-AP3</f>
        <v>0</v>
      </c>
      <c r="BR3" s="56">
        <f>BI3</f>
        <v>610000</v>
      </c>
      <c r="BS3" s="56">
        <f>BJ3</f>
        <v>84000</v>
      </c>
      <c r="BT3" s="57">
        <v>0</v>
      </c>
      <c r="BU3" s="58">
        <v>0</v>
      </c>
      <c r="BV3" s="59">
        <v>0</v>
      </c>
      <c r="BW3" s="60">
        <f>1</f>
        <v>1</v>
      </c>
      <c r="BX3" s="58">
        <f>BU3</f>
        <v>0</v>
      </c>
      <c r="BY3" s="58">
        <v>77.28</v>
      </c>
      <c r="BZ3" s="58">
        <f>BY3</f>
        <v>77.28</v>
      </c>
      <c r="CA3" s="58">
        <f t="shared" ref="CA3:CA49" si="9">AS3/CC3</f>
        <v>0</v>
      </c>
      <c r="CB3" s="59">
        <v>0.01</v>
      </c>
      <c r="CC3" s="60">
        <f>1</f>
        <v>1</v>
      </c>
      <c r="CD3" s="58">
        <f t="shared" ref="CD3:CH3" si="10">CE3</f>
        <v>16418.42</v>
      </c>
      <c r="CE3" s="58">
        <v>16418.42</v>
      </c>
      <c r="CF3" s="58">
        <f t="shared" si="10"/>
        <v>242433</v>
      </c>
      <c r="CG3" s="58">
        <v>242433</v>
      </c>
      <c r="CH3" s="58">
        <f t="shared" si="10"/>
        <v>27737</v>
      </c>
      <c r="CI3" s="58">
        <v>27737</v>
      </c>
    </row>
    <row r="4" spans="1:87">
      <c r="A4" s="4">
        <v>2027</v>
      </c>
      <c r="B4" s="4">
        <v>2</v>
      </c>
      <c r="C4" s="4">
        <v>45</v>
      </c>
      <c r="D4" s="4">
        <v>45</v>
      </c>
      <c r="E4" s="4">
        <v>4</v>
      </c>
      <c r="F4" s="4" t="s">
        <v>87</v>
      </c>
      <c r="G4" s="17">
        <v>0</v>
      </c>
      <c r="H4" s="17">
        <v>0</v>
      </c>
      <c r="I4" s="19">
        <f t="shared" si="0"/>
        <v>0</v>
      </c>
      <c r="J4" s="19">
        <f t="shared" si="1"/>
        <v>0</v>
      </c>
      <c r="K4" s="19">
        <v>0</v>
      </c>
      <c r="L4" s="19">
        <v>0</v>
      </c>
      <c r="M4" s="19">
        <v>0</v>
      </c>
      <c r="N4" s="19">
        <f t="shared" si="2"/>
        <v>0</v>
      </c>
      <c r="O4" s="19"/>
      <c r="P4" s="19"/>
      <c r="Q4" s="19"/>
      <c r="R4" s="19"/>
      <c r="S4" s="19"/>
      <c r="T4" s="19"/>
      <c r="U4" s="19"/>
      <c r="V4" s="19"/>
      <c r="W4" s="24">
        <v>1.025</v>
      </c>
      <c r="X4" s="19">
        <f t="shared" si="3"/>
        <v>0</v>
      </c>
      <c r="Y4" s="28">
        <f>Y3</f>
        <v>500000</v>
      </c>
      <c r="Z4" s="28">
        <v>300000</v>
      </c>
      <c r="AA4" s="28"/>
      <c r="AB4" s="28"/>
      <c r="AC4" s="28"/>
      <c r="AD4" s="28">
        <f t="shared" si="4"/>
        <v>800000</v>
      </c>
      <c r="AE4" s="31">
        <f t="shared" si="5"/>
        <v>800000</v>
      </c>
      <c r="AF4" s="32">
        <f t="shared" si="6"/>
        <v>0</v>
      </c>
      <c r="AG4" s="36">
        <f t="shared" ref="AG4:AG7" si="11">AG3</f>
        <v>1</v>
      </c>
      <c r="AH4" s="36"/>
      <c r="AI4" s="36"/>
      <c r="AJ4" s="36"/>
      <c r="AK4" s="36"/>
      <c r="AL4" s="36"/>
      <c r="AM4" s="36"/>
      <c r="AN4" s="36"/>
      <c r="AO4" s="36"/>
      <c r="AP4" s="39">
        <f t="shared" ref="AP4:AX4" si="12">$AE4*AG4*$AF4</f>
        <v>0</v>
      </c>
      <c r="AQ4" s="39">
        <f t="shared" si="12"/>
        <v>0</v>
      </c>
      <c r="AR4" s="39">
        <f t="shared" si="12"/>
        <v>0</v>
      </c>
      <c r="AS4" s="39">
        <f t="shared" si="12"/>
        <v>0</v>
      </c>
      <c r="AT4" s="39">
        <f t="shared" si="12"/>
        <v>0</v>
      </c>
      <c r="AU4" s="39">
        <f t="shared" si="12"/>
        <v>0</v>
      </c>
      <c r="AV4" s="39">
        <f t="shared" si="12"/>
        <v>0</v>
      </c>
      <c r="AW4" s="39">
        <f t="shared" si="12"/>
        <v>0</v>
      </c>
      <c r="AX4" s="39">
        <f t="shared" si="12"/>
        <v>0</v>
      </c>
      <c r="AY4" s="43">
        <f t="shared" ref="AY4:BA4" si="13">AY3</f>
        <v>0.015</v>
      </c>
      <c r="AZ4" s="43">
        <f t="shared" si="13"/>
        <v>0.03</v>
      </c>
      <c r="BA4" s="43">
        <f t="shared" si="13"/>
        <v>0.03</v>
      </c>
      <c r="BB4" s="43" t="s">
        <v>86</v>
      </c>
      <c r="BC4" s="43" t="s">
        <v>86</v>
      </c>
      <c r="BD4" s="43" t="s">
        <v>86</v>
      </c>
      <c r="BE4" s="43"/>
      <c r="BF4" s="43">
        <v>0.000411703253602846</v>
      </c>
      <c r="BG4" s="43"/>
      <c r="BH4" s="46"/>
      <c r="BI4" s="46">
        <v>261000</v>
      </c>
      <c r="BJ4" s="46">
        <f t="shared" ref="BJ4:BM4" si="14">BJ3</f>
        <v>84000</v>
      </c>
      <c r="BK4" s="46">
        <f t="shared" si="14"/>
        <v>259000</v>
      </c>
      <c r="BL4" s="46">
        <f t="shared" si="14"/>
        <v>23000</v>
      </c>
      <c r="BM4" s="46">
        <f t="shared" si="14"/>
        <v>23000</v>
      </c>
      <c r="BN4" s="46">
        <f t="shared" si="8"/>
        <v>650000</v>
      </c>
      <c r="BO4" s="53">
        <f t="shared" ref="BO4:BO49" si="15">IF(AE4&gt;0,AE4,0)+BO3*(1+BP3)-BN4</f>
        <v>151015</v>
      </c>
      <c r="BP4" s="54">
        <f t="shared" ref="BP4:BP49" si="16">BP3</f>
        <v>0.015</v>
      </c>
      <c r="BQ4" s="56">
        <f t="shared" ref="BQ4:BQ49" si="17">BQ3*(1+AY4)+BH4-AP4</f>
        <v>0</v>
      </c>
      <c r="BR4" s="56">
        <f t="shared" ref="BR4:BR17" si="18">BR3*(1+AZ4)-AQ4+BI4</f>
        <v>889300</v>
      </c>
      <c r="BS4" s="56">
        <f t="shared" ref="BS4:BS49" si="19">BS3*(1+BA4)-AR4+BJ4</f>
        <v>170520</v>
      </c>
      <c r="BT4" s="57">
        <v>16588.95</v>
      </c>
      <c r="BU4" s="58">
        <v>0</v>
      </c>
      <c r="BV4" s="59">
        <v>0</v>
      </c>
      <c r="BW4" s="60">
        <f t="shared" ref="BW4:BW49" si="20">BW3*(1+BV3)</f>
        <v>1</v>
      </c>
      <c r="BX4" s="58">
        <f>BU4</f>
        <v>0</v>
      </c>
      <c r="BY4" s="58">
        <v>4594.48</v>
      </c>
      <c r="BZ4" s="58">
        <f>BY4</f>
        <v>4594.48</v>
      </c>
      <c r="CA4" s="58">
        <f t="shared" si="9"/>
        <v>0</v>
      </c>
      <c r="CB4" s="59">
        <f t="shared" ref="CB4:CB8" si="21">CB3</f>
        <v>0.01</v>
      </c>
      <c r="CC4" s="60">
        <f t="shared" ref="CC4:CC49" si="22">CC3*(1+CB3)</f>
        <v>1.01</v>
      </c>
      <c r="CD4" s="58">
        <f t="shared" ref="CD4:CD11" si="23">IF(CE$3=0,0,CD3*CE4/CE3-AV4)</f>
        <v>26983.69</v>
      </c>
      <c r="CE4" s="58">
        <v>26983.69</v>
      </c>
      <c r="CF4" s="58">
        <f t="shared" ref="CF4:CF49" si="24">IF(CG$3=0,0,CF3*CG4/CG3-AW4)</f>
        <v>250412</v>
      </c>
      <c r="CG4" s="58">
        <v>250412</v>
      </c>
      <c r="CH4" s="58">
        <f t="shared" ref="CH4:CH11" si="25">IF(CI$3=0,0,CH3*CI4/CI3-AX4)</f>
        <v>41847</v>
      </c>
      <c r="CI4" s="58">
        <v>41847</v>
      </c>
    </row>
    <row r="5" spans="1:87">
      <c r="A5" s="4">
        <v>2028</v>
      </c>
      <c r="B5" s="4">
        <v>3</v>
      </c>
      <c r="C5" s="4">
        <v>46</v>
      </c>
      <c r="D5" s="4">
        <v>46</v>
      </c>
      <c r="E5" s="4">
        <v>5</v>
      </c>
      <c r="F5" s="4" t="s">
        <v>88</v>
      </c>
      <c r="G5" s="17">
        <v>0</v>
      </c>
      <c r="H5" s="17">
        <v>0</v>
      </c>
      <c r="I5" s="19">
        <f t="shared" si="0"/>
        <v>0</v>
      </c>
      <c r="J5" s="19">
        <f t="shared" si="1"/>
        <v>0</v>
      </c>
      <c r="K5" s="19">
        <v>0</v>
      </c>
      <c r="L5" s="19">
        <v>0</v>
      </c>
      <c r="M5" s="19">
        <v>0</v>
      </c>
      <c r="N5" s="19">
        <f t="shared" si="2"/>
        <v>0</v>
      </c>
      <c r="O5" s="19"/>
      <c r="P5" s="19"/>
      <c r="Q5" s="19"/>
      <c r="R5" s="19"/>
      <c r="S5" s="19"/>
      <c r="T5" s="19"/>
      <c r="U5" s="19"/>
      <c r="V5" s="19"/>
      <c r="W5" s="24">
        <v>1.04985625</v>
      </c>
      <c r="X5" s="19">
        <f t="shared" si="3"/>
        <v>0</v>
      </c>
      <c r="Y5" s="28">
        <f>Y4</f>
        <v>500000</v>
      </c>
      <c r="Z5" s="28">
        <v>500000</v>
      </c>
      <c r="AA5" s="28"/>
      <c r="AB5" s="28"/>
      <c r="AC5" s="28"/>
      <c r="AD5" s="28">
        <f t="shared" si="4"/>
        <v>1000000</v>
      </c>
      <c r="AE5" s="31">
        <f t="shared" si="5"/>
        <v>1000000</v>
      </c>
      <c r="AF5" s="32">
        <f t="shared" si="6"/>
        <v>0</v>
      </c>
      <c r="AG5" s="36">
        <f t="shared" si="11"/>
        <v>1</v>
      </c>
      <c r="AH5" s="36"/>
      <c r="AI5" s="36"/>
      <c r="AJ5" s="36"/>
      <c r="AK5" s="36"/>
      <c r="AL5" s="36"/>
      <c r="AM5" s="36"/>
      <c r="AN5" s="36"/>
      <c r="AO5" s="36"/>
      <c r="AP5" s="39">
        <f t="shared" ref="AP5:AX5" si="26">$AE5*AG5*$AF5</f>
        <v>0</v>
      </c>
      <c r="AQ5" s="39">
        <f t="shared" si="26"/>
        <v>0</v>
      </c>
      <c r="AR5" s="39">
        <f t="shared" si="26"/>
        <v>0</v>
      </c>
      <c r="AS5" s="39">
        <f t="shared" si="26"/>
        <v>0</v>
      </c>
      <c r="AT5" s="39">
        <f t="shared" si="26"/>
        <v>0</v>
      </c>
      <c r="AU5" s="39">
        <f t="shared" si="26"/>
        <v>0</v>
      </c>
      <c r="AV5" s="39">
        <f t="shared" si="26"/>
        <v>0</v>
      </c>
      <c r="AW5" s="39">
        <f t="shared" si="26"/>
        <v>0</v>
      </c>
      <c r="AX5" s="39">
        <f t="shared" si="26"/>
        <v>0</v>
      </c>
      <c r="AY5" s="43">
        <f t="shared" ref="AY5:BA5" si="27">AY4</f>
        <v>0.015</v>
      </c>
      <c r="AZ5" s="43">
        <f t="shared" si="27"/>
        <v>0.03</v>
      </c>
      <c r="BA5" s="43">
        <f t="shared" si="27"/>
        <v>0.03</v>
      </c>
      <c r="BB5" s="43" t="s">
        <v>86</v>
      </c>
      <c r="BC5" s="43" t="s">
        <v>86</v>
      </c>
      <c r="BD5" s="43" t="s">
        <v>86</v>
      </c>
      <c r="BE5" s="43"/>
      <c r="BF5" s="43">
        <v>0.00682619134358164</v>
      </c>
      <c r="BG5" s="43"/>
      <c r="BH5" s="46"/>
      <c r="BI5" s="46"/>
      <c r="BJ5" s="46">
        <f t="shared" ref="BJ5:BM5" si="28">BJ4</f>
        <v>84000</v>
      </c>
      <c r="BK5" s="46">
        <f t="shared" si="28"/>
        <v>259000</v>
      </c>
      <c r="BL5" s="46">
        <f t="shared" si="28"/>
        <v>23000</v>
      </c>
      <c r="BM5" s="46">
        <f t="shared" si="28"/>
        <v>23000</v>
      </c>
      <c r="BN5" s="46">
        <f t="shared" si="8"/>
        <v>389000</v>
      </c>
      <c r="BO5" s="53">
        <f t="shared" si="15"/>
        <v>764280.225</v>
      </c>
      <c r="BP5" s="54">
        <f t="shared" si="16"/>
        <v>0.015</v>
      </c>
      <c r="BQ5" s="56">
        <f t="shared" si="17"/>
        <v>0</v>
      </c>
      <c r="BR5" s="56">
        <f t="shared" si="18"/>
        <v>915979</v>
      </c>
      <c r="BS5" s="56">
        <f t="shared" si="19"/>
        <v>259635.6</v>
      </c>
      <c r="BT5" s="57">
        <v>76679.54</v>
      </c>
      <c r="BU5" s="58">
        <v>22619.35</v>
      </c>
      <c r="BV5" s="59">
        <f>BV4</f>
        <v>0</v>
      </c>
      <c r="BW5" s="60">
        <f t="shared" si="20"/>
        <v>1</v>
      </c>
      <c r="BX5" s="58">
        <f>BU5</f>
        <v>22619.35</v>
      </c>
      <c r="BY5" s="58">
        <v>13948.81</v>
      </c>
      <c r="BZ5" s="58">
        <f t="shared" ref="BZ5:BZ49" si="29">(BZ4-AU5)*BY5/BY4</f>
        <v>13948.81</v>
      </c>
      <c r="CA5" s="58">
        <f t="shared" si="9"/>
        <v>0</v>
      </c>
      <c r="CB5" s="59">
        <v>0.02</v>
      </c>
      <c r="CC5" s="60">
        <f t="shared" si="22"/>
        <v>1.0201</v>
      </c>
      <c r="CD5" s="58">
        <f t="shared" si="23"/>
        <v>38163.01</v>
      </c>
      <c r="CE5" s="58">
        <v>38163.01</v>
      </c>
      <c r="CF5" s="58">
        <f t="shared" si="24"/>
        <v>258662</v>
      </c>
      <c r="CG5" s="58">
        <v>258662</v>
      </c>
      <c r="CH5" s="58">
        <f t="shared" si="25"/>
        <v>56982</v>
      </c>
      <c r="CI5" s="58">
        <v>56982</v>
      </c>
    </row>
    <row r="6" spans="1:87">
      <c r="A6" s="4">
        <v>2029</v>
      </c>
      <c r="B6" s="4">
        <v>4</v>
      </c>
      <c r="C6" s="4">
        <v>47</v>
      </c>
      <c r="D6" s="4">
        <v>47</v>
      </c>
      <c r="E6" s="4">
        <v>6</v>
      </c>
      <c r="F6" s="4" t="s">
        <v>89</v>
      </c>
      <c r="G6" s="17">
        <v>0</v>
      </c>
      <c r="H6" s="17">
        <v>0</v>
      </c>
      <c r="I6" s="19">
        <f t="shared" si="0"/>
        <v>0</v>
      </c>
      <c r="J6" s="19">
        <f t="shared" si="1"/>
        <v>0</v>
      </c>
      <c r="K6" s="19">
        <v>0</v>
      </c>
      <c r="L6" s="19">
        <v>0</v>
      </c>
      <c r="M6" s="19">
        <v>0</v>
      </c>
      <c r="N6" s="19">
        <f t="shared" si="2"/>
        <v>0</v>
      </c>
      <c r="O6" s="19"/>
      <c r="P6" s="19"/>
      <c r="Q6" s="19"/>
      <c r="R6" s="19"/>
      <c r="S6" s="19"/>
      <c r="T6" s="19"/>
      <c r="U6" s="19"/>
      <c r="V6" s="19"/>
      <c r="W6" s="24">
        <v>1.07455149364062</v>
      </c>
      <c r="X6" s="19">
        <f t="shared" si="3"/>
        <v>0</v>
      </c>
      <c r="Y6" s="28"/>
      <c r="Z6" s="28"/>
      <c r="AA6" s="28"/>
      <c r="AB6" s="28"/>
      <c r="AC6" s="28"/>
      <c r="AD6" s="28">
        <f t="shared" si="4"/>
        <v>0</v>
      </c>
      <c r="AE6" s="31">
        <f t="shared" si="5"/>
        <v>0</v>
      </c>
      <c r="AF6" s="32">
        <f t="shared" si="6"/>
        <v>-1</v>
      </c>
      <c r="AG6" s="36">
        <f t="shared" si="11"/>
        <v>1</v>
      </c>
      <c r="AH6" s="36"/>
      <c r="AI6" s="36"/>
      <c r="AJ6" s="36"/>
      <c r="AK6" s="36"/>
      <c r="AL6" s="36"/>
      <c r="AM6" s="36"/>
      <c r="AN6" s="36"/>
      <c r="AO6" s="36"/>
      <c r="AP6" s="39">
        <f t="shared" ref="AP6:AX6" si="30">$AE6*AG6*$AF6</f>
        <v>0</v>
      </c>
      <c r="AQ6" s="39">
        <f t="shared" si="30"/>
        <v>0</v>
      </c>
      <c r="AR6" s="39">
        <f t="shared" si="30"/>
        <v>0</v>
      </c>
      <c r="AS6" s="39">
        <f t="shared" si="30"/>
        <v>0</v>
      </c>
      <c r="AT6" s="39">
        <f t="shared" si="30"/>
        <v>0</v>
      </c>
      <c r="AU6" s="39">
        <f t="shared" si="30"/>
        <v>0</v>
      </c>
      <c r="AV6" s="39">
        <f t="shared" si="30"/>
        <v>0</v>
      </c>
      <c r="AW6" s="39">
        <f t="shared" si="30"/>
        <v>0</v>
      </c>
      <c r="AX6" s="39">
        <f t="shared" si="30"/>
        <v>0</v>
      </c>
      <c r="AY6" s="43">
        <f t="shared" ref="AY6:BA6" si="31">AY5</f>
        <v>0.015</v>
      </c>
      <c r="AZ6" s="43">
        <f t="shared" si="31"/>
        <v>0.03</v>
      </c>
      <c r="BA6" s="43">
        <f t="shared" si="31"/>
        <v>0.03</v>
      </c>
      <c r="BB6" s="43" t="s">
        <v>86</v>
      </c>
      <c r="BC6" s="43" t="s">
        <v>86</v>
      </c>
      <c r="BD6" s="43" t="s">
        <v>86</v>
      </c>
      <c r="BE6" s="43"/>
      <c r="BF6" s="43">
        <v>0.0111260900732937</v>
      </c>
      <c r="BG6" s="43"/>
      <c r="BH6" s="46"/>
      <c r="BI6" s="46"/>
      <c r="BJ6" s="46">
        <f t="shared" ref="BJ6:BM6" si="32">BJ5</f>
        <v>84000</v>
      </c>
      <c r="BK6" s="46">
        <f t="shared" si="32"/>
        <v>259000</v>
      </c>
      <c r="BL6" s="46">
        <f t="shared" si="32"/>
        <v>23000</v>
      </c>
      <c r="BM6" s="46">
        <f t="shared" si="32"/>
        <v>23000</v>
      </c>
      <c r="BN6" s="46">
        <f t="shared" si="8"/>
        <v>389000</v>
      </c>
      <c r="BO6" s="53">
        <f t="shared" si="15"/>
        <v>386744.428375</v>
      </c>
      <c r="BP6" s="54">
        <f t="shared" si="16"/>
        <v>0.015</v>
      </c>
      <c r="BQ6" s="56">
        <f t="shared" si="17"/>
        <v>0</v>
      </c>
      <c r="BR6" s="56">
        <f t="shared" si="18"/>
        <v>943458.37</v>
      </c>
      <c r="BS6" s="56">
        <f t="shared" si="19"/>
        <v>351424.668</v>
      </c>
      <c r="BT6" s="57">
        <v>187389.09</v>
      </c>
      <c r="BU6" s="58">
        <v>35778.57</v>
      </c>
      <c r="BV6" s="59">
        <v>0.01</v>
      </c>
      <c r="BW6" s="60">
        <f t="shared" si="20"/>
        <v>1</v>
      </c>
      <c r="BX6" s="58">
        <f t="shared" ref="BX6:BX49" si="33">(BX5-AT6)*BU6/BU5</f>
        <v>35778.57</v>
      </c>
      <c r="BY6" s="58">
        <v>24804.35</v>
      </c>
      <c r="BZ6" s="58">
        <f t="shared" si="29"/>
        <v>24804.35</v>
      </c>
      <c r="CA6" s="58">
        <f t="shared" si="9"/>
        <v>0</v>
      </c>
      <c r="CB6" s="59">
        <f t="shared" si="21"/>
        <v>0.02</v>
      </c>
      <c r="CC6" s="60">
        <f t="shared" si="22"/>
        <v>1.040502</v>
      </c>
      <c r="CD6" s="58">
        <f t="shared" si="23"/>
        <v>49982.23</v>
      </c>
      <c r="CE6" s="58">
        <v>49982.23</v>
      </c>
      <c r="CF6" s="58">
        <f t="shared" si="24"/>
        <v>267193</v>
      </c>
      <c r="CG6" s="58">
        <v>267193</v>
      </c>
      <c r="CH6" s="58">
        <f t="shared" si="25"/>
        <v>73177</v>
      </c>
      <c r="CI6" s="58">
        <v>73177</v>
      </c>
    </row>
    <row r="7" spans="1:87">
      <c r="A7" s="4">
        <v>2030</v>
      </c>
      <c r="B7" s="4">
        <v>5</v>
      </c>
      <c r="C7" s="4">
        <v>48</v>
      </c>
      <c r="D7" s="4">
        <v>48</v>
      </c>
      <c r="E7" s="4">
        <v>7</v>
      </c>
      <c r="F7" s="4" t="s">
        <v>90</v>
      </c>
      <c r="G7" s="17">
        <v>0</v>
      </c>
      <c r="H7" s="17">
        <v>0</v>
      </c>
      <c r="I7" s="19">
        <f t="shared" si="0"/>
        <v>0</v>
      </c>
      <c r="J7" s="19">
        <f t="shared" si="1"/>
        <v>0</v>
      </c>
      <c r="K7" s="19">
        <v>0</v>
      </c>
      <c r="L7" s="19">
        <v>0</v>
      </c>
      <c r="M7" s="19">
        <v>0</v>
      </c>
      <c r="N7" s="19">
        <f t="shared" si="2"/>
        <v>0</v>
      </c>
      <c r="O7" s="19"/>
      <c r="P7" s="19"/>
      <c r="Q7" s="19"/>
      <c r="R7" s="19"/>
      <c r="S7" s="19"/>
      <c r="T7" s="19"/>
      <c r="U7" s="19"/>
      <c r="V7" s="19"/>
      <c r="W7" s="24">
        <v>1.09906934702451</v>
      </c>
      <c r="X7" s="19">
        <f t="shared" si="3"/>
        <v>0</v>
      </c>
      <c r="Y7" s="28"/>
      <c r="Z7" s="28"/>
      <c r="AA7" s="28"/>
      <c r="AB7" s="28"/>
      <c r="AC7" s="28"/>
      <c r="AD7" s="28">
        <f t="shared" si="4"/>
        <v>0</v>
      </c>
      <c r="AE7" s="31">
        <f t="shared" si="5"/>
        <v>0</v>
      </c>
      <c r="AF7" s="32">
        <f t="shared" si="6"/>
        <v>-1</v>
      </c>
      <c r="AG7" s="36">
        <f t="shared" si="11"/>
        <v>1</v>
      </c>
      <c r="AH7" s="36"/>
      <c r="AI7" s="36"/>
      <c r="AJ7" s="36"/>
      <c r="AK7" s="36"/>
      <c r="AL7" s="36"/>
      <c r="AM7" s="36"/>
      <c r="AN7" s="36"/>
      <c r="AO7" s="36"/>
      <c r="AP7" s="39">
        <f t="shared" ref="AP7:AX7" si="34">$AE7*AG7*$AF7</f>
        <v>0</v>
      </c>
      <c r="AQ7" s="39">
        <f t="shared" si="34"/>
        <v>0</v>
      </c>
      <c r="AR7" s="39">
        <f t="shared" si="34"/>
        <v>0</v>
      </c>
      <c r="AS7" s="39">
        <f t="shared" si="34"/>
        <v>0</v>
      </c>
      <c r="AT7" s="39">
        <f t="shared" si="34"/>
        <v>0</v>
      </c>
      <c r="AU7" s="39">
        <f t="shared" si="34"/>
        <v>0</v>
      </c>
      <c r="AV7" s="39">
        <f t="shared" si="34"/>
        <v>0</v>
      </c>
      <c r="AW7" s="39">
        <f t="shared" si="34"/>
        <v>0</v>
      </c>
      <c r="AX7" s="39">
        <f t="shared" si="34"/>
        <v>0</v>
      </c>
      <c r="AY7" s="43">
        <f t="shared" ref="AY7:BA7" si="35">AY6</f>
        <v>0.015</v>
      </c>
      <c r="AZ7" s="43">
        <f t="shared" si="35"/>
        <v>0.03</v>
      </c>
      <c r="BA7" s="43">
        <f t="shared" si="35"/>
        <v>0.03</v>
      </c>
      <c r="BB7" s="43" t="s">
        <v>86</v>
      </c>
      <c r="BC7" s="43" t="s">
        <v>86</v>
      </c>
      <c r="BD7" s="43" t="s">
        <v>86</v>
      </c>
      <c r="BE7" s="43"/>
      <c r="BF7" s="43">
        <v>0.0142136539490765</v>
      </c>
      <c r="BG7" s="43"/>
      <c r="BH7" s="46"/>
      <c r="BI7" s="46"/>
      <c r="BJ7" s="46">
        <f t="shared" ref="BJ7:BM7" si="36">BJ6</f>
        <v>84000</v>
      </c>
      <c r="BK7" s="46">
        <f t="shared" si="36"/>
        <v>259000</v>
      </c>
      <c r="BL7" s="46">
        <f t="shared" si="36"/>
        <v>23000</v>
      </c>
      <c r="BM7" s="46">
        <f t="shared" si="36"/>
        <v>23000</v>
      </c>
      <c r="BN7" s="46">
        <f t="shared" si="8"/>
        <v>389000</v>
      </c>
      <c r="BO7" s="53">
        <f t="shared" si="15"/>
        <v>3545.594800625</v>
      </c>
      <c r="BP7" s="54">
        <f t="shared" si="16"/>
        <v>0.015</v>
      </c>
      <c r="BQ7" s="56">
        <f t="shared" si="17"/>
        <v>0</v>
      </c>
      <c r="BR7" s="56">
        <f t="shared" si="18"/>
        <v>971762.1211</v>
      </c>
      <c r="BS7" s="56">
        <f t="shared" si="19"/>
        <v>445967.40804</v>
      </c>
      <c r="BT7" s="57">
        <v>339217.48</v>
      </c>
      <c r="BU7" s="58">
        <v>49143.87</v>
      </c>
      <c r="BV7" s="59">
        <v>0.01</v>
      </c>
      <c r="BW7" s="60">
        <f t="shared" si="20"/>
        <v>1.01</v>
      </c>
      <c r="BX7" s="58">
        <f t="shared" si="33"/>
        <v>49143.87</v>
      </c>
      <c r="BY7" s="58">
        <v>40241.49</v>
      </c>
      <c r="BZ7" s="58">
        <f t="shared" si="29"/>
        <v>40241.49</v>
      </c>
      <c r="CA7" s="58">
        <f t="shared" si="9"/>
        <v>0</v>
      </c>
      <c r="CB7" s="59">
        <f t="shared" si="21"/>
        <v>0.02</v>
      </c>
      <c r="CC7" s="60">
        <f t="shared" si="22"/>
        <v>1.06131204</v>
      </c>
      <c r="CD7" s="58">
        <f t="shared" si="23"/>
        <v>62468.42</v>
      </c>
      <c r="CE7" s="58">
        <v>62468.42</v>
      </c>
      <c r="CF7" s="58">
        <f t="shared" si="24"/>
        <v>276015</v>
      </c>
      <c r="CG7" s="58">
        <v>276015</v>
      </c>
      <c r="CH7" s="58">
        <f t="shared" si="25"/>
        <v>90466</v>
      </c>
      <c r="CI7" s="58">
        <v>90466</v>
      </c>
    </row>
    <row r="8" spans="1:87">
      <c r="A8" s="4">
        <v>2031</v>
      </c>
      <c r="B8" s="4">
        <v>6</v>
      </c>
      <c r="C8" s="4">
        <v>49</v>
      </c>
      <c r="D8" s="4">
        <v>49</v>
      </c>
      <c r="E8" s="4">
        <v>8</v>
      </c>
      <c r="F8" s="4" t="s">
        <v>91</v>
      </c>
      <c r="G8" s="17">
        <v>0</v>
      </c>
      <c r="H8" s="17">
        <v>0</v>
      </c>
      <c r="I8" s="19">
        <f t="shared" si="0"/>
        <v>0</v>
      </c>
      <c r="J8" s="19">
        <f t="shared" si="1"/>
        <v>0</v>
      </c>
      <c r="K8" s="19">
        <v>0</v>
      </c>
      <c r="L8" s="19">
        <v>0</v>
      </c>
      <c r="M8" s="19">
        <v>0</v>
      </c>
      <c r="N8" s="19">
        <f t="shared" si="2"/>
        <v>0</v>
      </c>
      <c r="O8" s="19"/>
      <c r="P8" s="19"/>
      <c r="Q8" s="19"/>
      <c r="R8" s="19"/>
      <c r="S8" s="19"/>
      <c r="T8" s="19"/>
      <c r="U8" s="19"/>
      <c r="V8" s="19"/>
      <c r="W8" s="24">
        <v>1.12339430178982</v>
      </c>
      <c r="X8" s="19">
        <f t="shared" si="3"/>
        <v>0</v>
      </c>
      <c r="Y8" s="28"/>
      <c r="Z8" s="28"/>
      <c r="AA8" s="28"/>
      <c r="AB8" s="28"/>
      <c r="AC8" s="28"/>
      <c r="AD8" s="28">
        <f t="shared" si="4"/>
        <v>0</v>
      </c>
      <c r="AE8" s="31">
        <f t="shared" si="5"/>
        <v>0</v>
      </c>
      <c r="AF8" s="32">
        <f t="shared" si="6"/>
        <v>-1</v>
      </c>
      <c r="AG8" s="36"/>
      <c r="AH8" s="36"/>
      <c r="AI8" s="36"/>
      <c r="AJ8" s="36"/>
      <c r="AK8" s="36"/>
      <c r="AL8" s="36"/>
      <c r="AM8" s="36"/>
      <c r="AN8" s="36"/>
      <c r="AO8" s="36"/>
      <c r="AP8" s="39">
        <f t="shared" ref="AP8:AX8" si="37">$AE8*AG8*$AF8</f>
        <v>0</v>
      </c>
      <c r="AQ8" s="39">
        <f t="shared" si="37"/>
        <v>0</v>
      </c>
      <c r="AR8" s="39">
        <f t="shared" si="37"/>
        <v>0</v>
      </c>
      <c r="AS8" s="39">
        <f t="shared" si="37"/>
        <v>0</v>
      </c>
      <c r="AT8" s="39">
        <f t="shared" si="37"/>
        <v>0</v>
      </c>
      <c r="AU8" s="39">
        <f t="shared" si="37"/>
        <v>0</v>
      </c>
      <c r="AV8" s="39">
        <f t="shared" si="37"/>
        <v>0</v>
      </c>
      <c r="AW8" s="39">
        <f t="shared" si="37"/>
        <v>0</v>
      </c>
      <c r="AX8" s="39">
        <f t="shared" si="37"/>
        <v>0</v>
      </c>
      <c r="AY8" s="43">
        <f t="shared" ref="AY8:BA8" si="38">AY7</f>
        <v>0.015</v>
      </c>
      <c r="AZ8" s="43">
        <f t="shared" si="38"/>
        <v>0.03</v>
      </c>
      <c r="BA8" s="43">
        <f t="shared" si="38"/>
        <v>0.03</v>
      </c>
      <c r="BB8" s="43" t="s">
        <v>86</v>
      </c>
      <c r="BC8" s="43" t="s">
        <v>86</v>
      </c>
      <c r="BD8" s="43" t="s">
        <v>86</v>
      </c>
      <c r="BE8" s="43"/>
      <c r="BF8" s="43">
        <v>0.0165415994529179</v>
      </c>
      <c r="BG8" s="43"/>
      <c r="BH8" s="46"/>
      <c r="BI8" s="46"/>
      <c r="BJ8" s="46"/>
      <c r="BK8" s="46"/>
      <c r="BL8" s="46"/>
      <c r="BM8" s="46"/>
      <c r="BN8" s="46"/>
      <c r="BO8" s="53">
        <f t="shared" si="15"/>
        <v>3598.77872263437</v>
      </c>
      <c r="BP8" s="54">
        <f t="shared" si="16"/>
        <v>0.015</v>
      </c>
      <c r="BQ8" s="56">
        <f t="shared" si="17"/>
        <v>0</v>
      </c>
      <c r="BR8" s="56">
        <f t="shared" si="18"/>
        <v>1000914.984733</v>
      </c>
      <c r="BS8" s="56">
        <f t="shared" si="19"/>
        <v>459346.4302812</v>
      </c>
      <c r="BT8" s="57">
        <v>594057.94</v>
      </c>
      <c r="BU8" s="58">
        <v>70878.18</v>
      </c>
      <c r="BV8" s="59">
        <v>0.01</v>
      </c>
      <c r="BW8" s="60">
        <f t="shared" si="20"/>
        <v>1.0201</v>
      </c>
      <c r="BX8" s="58">
        <f t="shared" si="33"/>
        <v>70878.18</v>
      </c>
      <c r="BY8" s="58">
        <v>54479.18</v>
      </c>
      <c r="BZ8" s="58">
        <f t="shared" si="29"/>
        <v>54479.18</v>
      </c>
      <c r="CA8" s="58">
        <f t="shared" si="9"/>
        <v>0</v>
      </c>
      <c r="CB8" s="59">
        <f t="shared" si="21"/>
        <v>0.02</v>
      </c>
      <c r="CC8" s="60">
        <f t="shared" si="22"/>
        <v>1.0825382808</v>
      </c>
      <c r="CD8" s="58">
        <f t="shared" si="23"/>
        <v>75649.84</v>
      </c>
      <c r="CE8" s="58">
        <v>75649.84</v>
      </c>
      <c r="CF8" s="58">
        <f t="shared" si="24"/>
        <v>285140</v>
      </c>
      <c r="CG8" s="58">
        <v>285140</v>
      </c>
      <c r="CH8" s="58">
        <f t="shared" si="25"/>
        <v>108885</v>
      </c>
      <c r="CI8" s="58">
        <v>108885</v>
      </c>
    </row>
    <row r="9" spans="1:87">
      <c r="A9" s="4">
        <v>2032</v>
      </c>
      <c r="B9" s="4">
        <v>7</v>
      </c>
      <c r="C9" s="4">
        <v>50</v>
      </c>
      <c r="D9" s="4">
        <v>50</v>
      </c>
      <c r="E9" s="4">
        <v>9</v>
      </c>
      <c r="F9" s="4" t="s">
        <v>92</v>
      </c>
      <c r="G9" s="17">
        <v>0</v>
      </c>
      <c r="H9" s="17">
        <v>0</v>
      </c>
      <c r="I9" s="19">
        <f t="shared" si="0"/>
        <v>0</v>
      </c>
      <c r="J9" s="19">
        <f t="shared" si="1"/>
        <v>0</v>
      </c>
      <c r="K9" s="19">
        <v>0</v>
      </c>
      <c r="L9" s="19">
        <v>0</v>
      </c>
      <c r="M9" s="19">
        <v>0</v>
      </c>
      <c r="N9" s="19">
        <f t="shared" si="2"/>
        <v>0</v>
      </c>
      <c r="O9" s="19"/>
      <c r="P9" s="19"/>
      <c r="Q9" s="19"/>
      <c r="R9" s="19"/>
      <c r="S9" s="19"/>
      <c r="T9" s="19"/>
      <c r="U9" s="19"/>
      <c r="V9" s="19"/>
      <c r="W9" s="24">
        <v>1.14751172457043</v>
      </c>
      <c r="X9" s="19">
        <f t="shared" si="3"/>
        <v>0</v>
      </c>
      <c r="Y9" s="28"/>
      <c r="Z9" s="28"/>
      <c r="AA9" s="28"/>
      <c r="AB9" s="28"/>
      <c r="AC9" s="28"/>
      <c r="AD9" s="28">
        <f t="shared" si="4"/>
        <v>0</v>
      </c>
      <c r="AE9" s="31">
        <f t="shared" si="5"/>
        <v>0</v>
      </c>
      <c r="AF9" s="32">
        <f t="shared" si="6"/>
        <v>-1</v>
      </c>
      <c r="AG9" s="36"/>
      <c r="AH9" s="36"/>
      <c r="AI9" s="36"/>
      <c r="AJ9" s="36"/>
      <c r="AK9" s="36"/>
      <c r="AL9" s="36"/>
      <c r="AM9" s="36"/>
      <c r="AN9" s="36"/>
      <c r="AO9" s="36"/>
      <c r="AP9" s="39">
        <f t="shared" ref="AP9:AX9" si="39">$AE9*AG9*$AF9</f>
        <v>0</v>
      </c>
      <c r="AQ9" s="39">
        <f t="shared" si="39"/>
        <v>0</v>
      </c>
      <c r="AR9" s="39">
        <f t="shared" si="39"/>
        <v>0</v>
      </c>
      <c r="AS9" s="39">
        <f t="shared" si="39"/>
        <v>0</v>
      </c>
      <c r="AT9" s="39">
        <f t="shared" si="39"/>
        <v>0</v>
      </c>
      <c r="AU9" s="39">
        <f t="shared" si="39"/>
        <v>0</v>
      </c>
      <c r="AV9" s="39">
        <f t="shared" si="39"/>
        <v>0</v>
      </c>
      <c r="AW9" s="39">
        <f t="shared" si="39"/>
        <v>0</v>
      </c>
      <c r="AX9" s="39">
        <f t="shared" si="39"/>
        <v>0</v>
      </c>
      <c r="AY9" s="43">
        <f t="shared" ref="AY9:BA9" si="40">AY8</f>
        <v>0.015</v>
      </c>
      <c r="AZ9" s="43">
        <f t="shared" si="40"/>
        <v>0.03</v>
      </c>
      <c r="BA9" s="43">
        <f t="shared" si="40"/>
        <v>0.03</v>
      </c>
      <c r="BB9" s="43">
        <v>0.00361140758469025</v>
      </c>
      <c r="BC9" s="43" t="s">
        <v>86</v>
      </c>
      <c r="BD9" s="43" t="s">
        <v>86</v>
      </c>
      <c r="BE9" s="43"/>
      <c r="BF9" s="43">
        <v>0.0183627152246535</v>
      </c>
      <c r="BG9" s="43">
        <v>0.0038771019544912</v>
      </c>
      <c r="BH9" s="46"/>
      <c r="BI9" s="46"/>
      <c r="BJ9" s="46"/>
      <c r="BK9" s="46"/>
      <c r="BL9" s="46"/>
      <c r="BM9" s="46"/>
      <c r="BN9" s="46"/>
      <c r="BO9" s="53">
        <f t="shared" si="15"/>
        <v>3652.76040347389</v>
      </c>
      <c r="BP9" s="54">
        <f t="shared" si="16"/>
        <v>0.015</v>
      </c>
      <c r="BQ9" s="56">
        <f t="shared" si="17"/>
        <v>0</v>
      </c>
      <c r="BR9" s="56">
        <f t="shared" si="18"/>
        <v>1030942.43427499</v>
      </c>
      <c r="BS9" s="56">
        <f t="shared" si="19"/>
        <v>473126.823189636</v>
      </c>
      <c r="BT9" s="58">
        <v>1182164.06</v>
      </c>
      <c r="BU9" s="58">
        <v>82972.96</v>
      </c>
      <c r="BV9" s="59">
        <v>0.01</v>
      </c>
      <c r="BW9" s="60">
        <f t="shared" si="20"/>
        <v>1.030301</v>
      </c>
      <c r="BX9" s="58">
        <f t="shared" si="33"/>
        <v>82972.96</v>
      </c>
      <c r="BY9" s="58">
        <v>61795.94</v>
      </c>
      <c r="BZ9" s="58">
        <f t="shared" si="29"/>
        <v>61795.94</v>
      </c>
      <c r="CA9" s="58">
        <f t="shared" si="9"/>
        <v>0</v>
      </c>
      <c r="CB9" s="59">
        <v>0.05</v>
      </c>
      <c r="CC9" s="60">
        <f t="shared" si="22"/>
        <v>1.104189046416</v>
      </c>
      <c r="CD9" s="58">
        <f t="shared" si="23"/>
        <v>89556.03</v>
      </c>
      <c r="CE9" s="58">
        <v>89556.03</v>
      </c>
      <c r="CF9" s="58">
        <f t="shared" si="24"/>
        <v>294582</v>
      </c>
      <c r="CG9" s="58">
        <v>294582</v>
      </c>
      <c r="CH9" s="58">
        <f t="shared" si="25"/>
        <v>128468</v>
      </c>
      <c r="CI9" s="58">
        <v>128468</v>
      </c>
    </row>
    <row r="10" spans="1:87">
      <c r="A10" s="4">
        <v>2033</v>
      </c>
      <c r="B10" s="4">
        <v>8</v>
      </c>
      <c r="C10" s="4">
        <v>51</v>
      </c>
      <c r="D10" s="4">
        <v>51</v>
      </c>
      <c r="E10" s="4">
        <v>10</v>
      </c>
      <c r="F10" s="4" t="s">
        <v>93</v>
      </c>
      <c r="G10" s="17">
        <v>0</v>
      </c>
      <c r="H10" s="17">
        <v>0</v>
      </c>
      <c r="I10" s="19">
        <f t="shared" si="0"/>
        <v>0</v>
      </c>
      <c r="J10" s="19">
        <f t="shared" si="1"/>
        <v>0</v>
      </c>
      <c r="K10" s="19">
        <v>0</v>
      </c>
      <c r="L10" s="19">
        <v>0</v>
      </c>
      <c r="M10" s="19">
        <v>0</v>
      </c>
      <c r="N10" s="19">
        <f t="shared" si="2"/>
        <v>0</v>
      </c>
      <c r="O10" s="19"/>
      <c r="P10" s="19"/>
      <c r="Q10" s="19"/>
      <c r="R10" s="19"/>
      <c r="S10" s="19"/>
      <c r="T10" s="19"/>
      <c r="U10" s="19"/>
      <c r="V10" s="19"/>
      <c r="W10" s="24">
        <v>1.1714078531178</v>
      </c>
      <c r="X10" s="19">
        <f t="shared" si="3"/>
        <v>0</v>
      </c>
      <c r="Y10" s="28"/>
      <c r="Z10" s="28"/>
      <c r="AA10" s="28"/>
      <c r="AB10" s="28"/>
      <c r="AC10" s="28"/>
      <c r="AD10" s="28">
        <f t="shared" si="4"/>
        <v>0</v>
      </c>
      <c r="AE10" s="31">
        <f t="shared" si="5"/>
        <v>0</v>
      </c>
      <c r="AF10" s="32">
        <f t="shared" si="6"/>
        <v>-1</v>
      </c>
      <c r="AG10" s="36"/>
      <c r="AH10" s="36"/>
      <c r="AI10" s="36"/>
      <c r="AJ10" s="36"/>
      <c r="AK10" s="36"/>
      <c r="AL10" s="36"/>
      <c r="AM10" s="36"/>
      <c r="AN10" s="36"/>
      <c r="AO10" s="36"/>
      <c r="AP10" s="39">
        <f t="shared" ref="AP10:AX10" si="41">$AE10*AG10*$AF10</f>
        <v>0</v>
      </c>
      <c r="AQ10" s="39">
        <f t="shared" si="41"/>
        <v>0</v>
      </c>
      <c r="AR10" s="39">
        <f t="shared" si="41"/>
        <v>0</v>
      </c>
      <c r="AS10" s="39">
        <f t="shared" si="41"/>
        <v>0</v>
      </c>
      <c r="AT10" s="39">
        <f t="shared" si="41"/>
        <v>0</v>
      </c>
      <c r="AU10" s="39">
        <f t="shared" si="41"/>
        <v>0</v>
      </c>
      <c r="AV10" s="39">
        <f t="shared" si="41"/>
        <v>0</v>
      </c>
      <c r="AW10" s="39">
        <f t="shared" si="41"/>
        <v>0</v>
      </c>
      <c r="AX10" s="39">
        <f t="shared" si="41"/>
        <v>0</v>
      </c>
      <c r="AY10" s="43">
        <f t="shared" ref="AY10:BA10" si="42">AY9</f>
        <v>0.015</v>
      </c>
      <c r="AZ10" s="43">
        <f t="shared" si="42"/>
        <v>0.03</v>
      </c>
      <c r="BA10" s="43">
        <f t="shared" si="42"/>
        <v>0.03</v>
      </c>
      <c r="BB10" s="43">
        <v>0.00784223784756688</v>
      </c>
      <c r="BC10" s="43">
        <v>0.00096869330309457</v>
      </c>
      <c r="BD10" s="43">
        <v>0.0158238408925235</v>
      </c>
      <c r="BE10" s="43"/>
      <c r="BF10" s="43">
        <v>0.0198278670244707</v>
      </c>
      <c r="BG10" s="43">
        <v>0.0116058588799055</v>
      </c>
      <c r="BH10" s="46"/>
      <c r="BI10" s="46"/>
      <c r="BJ10" s="46"/>
      <c r="BK10" s="46"/>
      <c r="BL10" s="46"/>
      <c r="BM10" s="46"/>
      <c r="BN10" s="46"/>
      <c r="BO10" s="53">
        <f t="shared" si="15"/>
        <v>3707.55180952599</v>
      </c>
      <c r="BP10" s="54">
        <f t="shared" si="16"/>
        <v>0.015</v>
      </c>
      <c r="BQ10" s="56">
        <f t="shared" si="17"/>
        <v>0</v>
      </c>
      <c r="BR10" s="56">
        <f t="shared" si="18"/>
        <v>1061870.70730324</v>
      </c>
      <c r="BS10" s="56">
        <f t="shared" si="19"/>
        <v>487320.627885325</v>
      </c>
      <c r="BT10" s="58">
        <v>1227040.99</v>
      </c>
      <c r="BU10" s="58">
        <v>102031.68</v>
      </c>
      <c r="BV10" s="59">
        <v>0.01</v>
      </c>
      <c r="BW10" s="60">
        <f t="shared" si="20"/>
        <v>1.04060401</v>
      </c>
      <c r="BX10" s="58">
        <f t="shared" si="33"/>
        <v>102031.68</v>
      </c>
      <c r="BY10" s="58">
        <v>126390.75</v>
      </c>
      <c r="BZ10" s="58">
        <f t="shared" si="29"/>
        <v>126390.75</v>
      </c>
      <c r="CA10" s="58">
        <f t="shared" si="9"/>
        <v>0</v>
      </c>
      <c r="CB10" s="59">
        <v>0.05</v>
      </c>
      <c r="CC10" s="60">
        <f t="shared" si="22"/>
        <v>1.1593984987368</v>
      </c>
      <c r="CD10" s="58">
        <f t="shared" si="23"/>
        <v>104217.87</v>
      </c>
      <c r="CE10" s="58">
        <v>104217.87</v>
      </c>
      <c r="CF10" s="58">
        <f t="shared" si="24"/>
        <v>304352</v>
      </c>
      <c r="CG10" s="58">
        <v>304352</v>
      </c>
      <c r="CH10" s="58">
        <f t="shared" si="25"/>
        <v>149255</v>
      </c>
      <c r="CI10" s="58">
        <v>149255</v>
      </c>
    </row>
    <row r="11" spans="1:87">
      <c r="A11" s="4">
        <v>2034</v>
      </c>
      <c r="B11" s="4">
        <v>9</v>
      </c>
      <c r="C11" s="4">
        <v>52</v>
      </c>
      <c r="D11" s="4">
        <v>52</v>
      </c>
      <c r="E11" s="4">
        <v>11</v>
      </c>
      <c r="F11" s="4" t="s">
        <v>94</v>
      </c>
      <c r="G11" s="17">
        <v>0</v>
      </c>
      <c r="H11" s="17">
        <v>0</v>
      </c>
      <c r="I11" s="19">
        <f t="shared" si="0"/>
        <v>0</v>
      </c>
      <c r="J11" s="19">
        <f t="shared" si="1"/>
        <v>0</v>
      </c>
      <c r="K11" s="19">
        <v>0</v>
      </c>
      <c r="L11" s="19">
        <v>0</v>
      </c>
      <c r="M11" s="19">
        <v>0</v>
      </c>
      <c r="N11" s="19">
        <f t="shared" si="2"/>
        <v>0</v>
      </c>
      <c r="O11" s="19"/>
      <c r="P11" s="19"/>
      <c r="Q11" s="19"/>
      <c r="R11" s="19"/>
      <c r="S11" s="19"/>
      <c r="T11" s="19"/>
      <c r="U11" s="19"/>
      <c r="V11" s="19"/>
      <c r="W11" s="24">
        <v>1.19506978935683</v>
      </c>
      <c r="X11" s="19">
        <f t="shared" si="3"/>
        <v>0</v>
      </c>
      <c r="Y11" s="28"/>
      <c r="Z11" s="28"/>
      <c r="AA11" s="28"/>
      <c r="AB11" s="28"/>
      <c r="AC11" s="28"/>
      <c r="AD11" s="28">
        <f t="shared" si="4"/>
        <v>0</v>
      </c>
      <c r="AE11" s="31">
        <f t="shared" si="5"/>
        <v>0</v>
      </c>
      <c r="AF11" s="32">
        <f t="shared" si="6"/>
        <v>-1</v>
      </c>
      <c r="AG11" s="36"/>
      <c r="AH11" s="36"/>
      <c r="AI11" s="36"/>
      <c r="AJ11" s="36"/>
      <c r="AK11" s="36"/>
      <c r="AL11" s="36"/>
      <c r="AM11" s="36"/>
      <c r="AN11" s="36"/>
      <c r="AO11" s="36"/>
      <c r="AP11" s="39">
        <f t="shared" ref="AP11:AX11" si="43">$AE11*AG11*$AF11</f>
        <v>0</v>
      </c>
      <c r="AQ11" s="39">
        <f t="shared" si="43"/>
        <v>0</v>
      </c>
      <c r="AR11" s="39">
        <f t="shared" si="43"/>
        <v>0</v>
      </c>
      <c r="AS11" s="39">
        <f t="shared" si="43"/>
        <v>0</v>
      </c>
      <c r="AT11" s="39">
        <f t="shared" si="43"/>
        <v>0</v>
      </c>
      <c r="AU11" s="39">
        <f t="shared" si="43"/>
        <v>0</v>
      </c>
      <c r="AV11" s="39">
        <f t="shared" si="43"/>
        <v>0</v>
      </c>
      <c r="AW11" s="39">
        <f t="shared" si="43"/>
        <v>0</v>
      </c>
      <c r="AX11" s="39">
        <f t="shared" si="43"/>
        <v>0</v>
      </c>
      <c r="AY11" s="43">
        <f>AY10</f>
        <v>0.015</v>
      </c>
      <c r="AZ11" s="43">
        <v>0.03</v>
      </c>
      <c r="BA11" s="43">
        <f>BA10</f>
        <v>0.03</v>
      </c>
      <c r="BB11" s="43">
        <v>0.0126327355964329</v>
      </c>
      <c r="BC11" s="43">
        <v>0.00916722335099984</v>
      </c>
      <c r="BD11" s="43">
        <v>0.0190337620355425</v>
      </c>
      <c r="BE11" s="43"/>
      <c r="BF11" s="43">
        <v>0.0210346984716301</v>
      </c>
      <c r="BG11" s="43">
        <v>0.0144509840221365</v>
      </c>
      <c r="BH11" s="46"/>
      <c r="BI11" s="46"/>
      <c r="BJ11" s="46"/>
      <c r="BK11" s="46"/>
      <c r="BL11" s="46"/>
      <c r="BM11" s="46"/>
      <c r="BN11" s="46"/>
      <c r="BO11" s="53">
        <f t="shared" si="15"/>
        <v>3763.16508666888</v>
      </c>
      <c r="BP11" s="54">
        <f t="shared" si="16"/>
        <v>0.015</v>
      </c>
      <c r="BQ11" s="56">
        <f t="shared" si="17"/>
        <v>0</v>
      </c>
      <c r="BR11" s="56">
        <f t="shared" si="18"/>
        <v>1093726.82852234</v>
      </c>
      <c r="BS11" s="56">
        <f t="shared" si="19"/>
        <v>501940.246721885</v>
      </c>
      <c r="BT11" s="58">
        <v>1290584.05</v>
      </c>
      <c r="BU11" s="58">
        <v>109655.95</v>
      </c>
      <c r="BV11" s="59">
        <v>0.037</v>
      </c>
      <c r="BW11" s="60">
        <f t="shared" si="20"/>
        <v>1.0510100501</v>
      </c>
      <c r="BX11" s="58">
        <f t="shared" si="33"/>
        <v>109655.95</v>
      </c>
      <c r="BY11" s="58">
        <v>131272.04</v>
      </c>
      <c r="BZ11" s="58">
        <f t="shared" si="29"/>
        <v>131272.04</v>
      </c>
      <c r="CA11" s="58">
        <f t="shared" si="9"/>
        <v>0</v>
      </c>
      <c r="CB11" s="59">
        <v>0.05</v>
      </c>
      <c r="CC11" s="60">
        <f t="shared" si="22"/>
        <v>1.21736842367364</v>
      </c>
      <c r="CD11" s="58">
        <f t="shared" si="23"/>
        <v>119667.6</v>
      </c>
      <c r="CE11" s="58">
        <v>119667.6</v>
      </c>
      <c r="CF11" s="58">
        <f t="shared" si="24"/>
        <v>314466</v>
      </c>
      <c r="CG11" s="58">
        <v>314466</v>
      </c>
      <c r="CH11" s="58">
        <f t="shared" si="25"/>
        <v>153815</v>
      </c>
      <c r="CI11" s="58">
        <v>153815</v>
      </c>
    </row>
    <row r="12" spans="1:87">
      <c r="A12" s="4">
        <v>2035</v>
      </c>
      <c r="B12" s="4">
        <v>10</v>
      </c>
      <c r="C12" s="4">
        <v>53</v>
      </c>
      <c r="D12" s="4">
        <v>53</v>
      </c>
      <c r="E12" s="4">
        <v>12</v>
      </c>
      <c r="F12" s="4" t="s">
        <v>95</v>
      </c>
      <c r="G12" s="17">
        <v>0</v>
      </c>
      <c r="H12" s="17">
        <v>0</v>
      </c>
      <c r="I12" s="19">
        <f t="shared" si="0"/>
        <v>0</v>
      </c>
      <c r="J12" s="19">
        <f t="shared" si="1"/>
        <v>0</v>
      </c>
      <c r="K12" s="19">
        <v>0</v>
      </c>
      <c r="L12" s="19">
        <v>0</v>
      </c>
      <c r="M12" s="19">
        <v>0</v>
      </c>
      <c r="N12" s="19">
        <f t="shared" si="2"/>
        <v>0</v>
      </c>
      <c r="O12" s="19"/>
      <c r="P12" s="19"/>
      <c r="Q12" s="19"/>
      <c r="R12" s="19"/>
      <c r="S12" s="19"/>
      <c r="T12" s="19"/>
      <c r="U12" s="19"/>
      <c r="V12" s="19"/>
      <c r="W12" s="24">
        <v>1.21848548964365</v>
      </c>
      <c r="X12" s="19">
        <f t="shared" si="3"/>
        <v>0</v>
      </c>
      <c r="Y12" s="28"/>
      <c r="Z12" s="28"/>
      <c r="AA12" s="28"/>
      <c r="AB12" s="28"/>
      <c r="AC12" s="28"/>
      <c r="AD12" s="28">
        <f t="shared" si="4"/>
        <v>0</v>
      </c>
      <c r="AE12" s="31">
        <f t="shared" si="5"/>
        <v>0</v>
      </c>
      <c r="AF12" s="32">
        <f t="shared" si="6"/>
        <v>-1</v>
      </c>
      <c r="AG12" s="36"/>
      <c r="AH12" s="36"/>
      <c r="AI12" s="36"/>
      <c r="AJ12" s="36"/>
      <c r="AK12" s="36"/>
      <c r="AL12" s="36"/>
      <c r="AM12" s="36"/>
      <c r="AN12" s="36"/>
      <c r="AO12" s="36"/>
      <c r="AP12" s="39">
        <f t="shared" ref="AP12:AX12" si="44">$AE12*AG12*$AF12</f>
        <v>0</v>
      </c>
      <c r="AQ12" s="39">
        <f t="shared" si="44"/>
        <v>0</v>
      </c>
      <c r="AR12" s="39">
        <f t="shared" si="44"/>
        <v>0</v>
      </c>
      <c r="AS12" s="39">
        <f t="shared" si="44"/>
        <v>0</v>
      </c>
      <c r="AT12" s="39">
        <f t="shared" si="44"/>
        <v>0</v>
      </c>
      <c r="AU12" s="39">
        <f t="shared" si="44"/>
        <v>0</v>
      </c>
      <c r="AV12" s="39">
        <f t="shared" si="44"/>
        <v>0</v>
      </c>
      <c r="AW12" s="39">
        <f t="shared" si="44"/>
        <v>0</v>
      </c>
      <c r="AX12" s="39">
        <f t="shared" si="44"/>
        <v>0</v>
      </c>
      <c r="AY12" s="43">
        <f t="shared" ref="AY12:BA12" si="45">AY11</f>
        <v>0.015</v>
      </c>
      <c r="AZ12" s="43">
        <f t="shared" si="45"/>
        <v>0.03</v>
      </c>
      <c r="BA12" s="43">
        <f t="shared" si="45"/>
        <v>0.03</v>
      </c>
      <c r="BB12" s="43">
        <v>0.0208792794459354</v>
      </c>
      <c r="BC12" s="43">
        <v>0.0176678694839687</v>
      </c>
      <c r="BD12" s="43">
        <v>0.0213552184508592</v>
      </c>
      <c r="BE12" s="43">
        <v>0.00636032919640694</v>
      </c>
      <c r="BF12" s="43">
        <v>0.0220479580614208</v>
      </c>
      <c r="BG12" s="43">
        <v>0.0165566104047707</v>
      </c>
      <c r="BH12" s="46"/>
      <c r="BI12" s="46"/>
      <c r="BJ12" s="46"/>
      <c r="BK12" s="46"/>
      <c r="BL12" s="46"/>
      <c r="BM12" s="46"/>
      <c r="BN12" s="46"/>
      <c r="BO12" s="53">
        <f t="shared" si="15"/>
        <v>3819.61256296892</v>
      </c>
      <c r="BP12" s="54">
        <f t="shared" si="16"/>
        <v>0.015</v>
      </c>
      <c r="BQ12" s="56">
        <f t="shared" si="17"/>
        <v>0</v>
      </c>
      <c r="BR12" s="56">
        <f t="shared" si="18"/>
        <v>1126538.63337801</v>
      </c>
      <c r="BS12" s="56">
        <f t="shared" si="19"/>
        <v>516998.454123541</v>
      </c>
      <c r="BT12" s="58">
        <v>1417302.39</v>
      </c>
      <c r="BU12" s="58">
        <v>120063.91</v>
      </c>
      <c r="BV12" s="59">
        <v>0.0707918024961369</v>
      </c>
      <c r="BW12" s="60">
        <f t="shared" si="20"/>
        <v>1.0898974219537</v>
      </c>
      <c r="BX12" s="58">
        <f t="shared" si="33"/>
        <v>120063.91</v>
      </c>
      <c r="BY12" s="58">
        <v>136240.5</v>
      </c>
      <c r="BZ12" s="58">
        <f t="shared" si="29"/>
        <v>136240.5</v>
      </c>
      <c r="CA12" s="58">
        <f t="shared" si="9"/>
        <v>0</v>
      </c>
      <c r="CB12" s="59">
        <v>0.0341809476493915</v>
      </c>
      <c r="CC12" s="60">
        <f t="shared" si="22"/>
        <v>1.27823684485732</v>
      </c>
      <c r="CD12" s="58">
        <f>CE12</f>
        <v>135937.76</v>
      </c>
      <c r="CE12" s="58">
        <v>135937.76</v>
      </c>
      <c r="CF12" s="58">
        <f t="shared" si="24"/>
        <v>324939</v>
      </c>
      <c r="CG12" s="58">
        <v>324939</v>
      </c>
      <c r="CH12" s="58">
        <f>CI12</f>
        <v>158525</v>
      </c>
      <c r="CI12" s="58">
        <v>158525</v>
      </c>
    </row>
    <row r="13" spans="1:87">
      <c r="A13" s="4">
        <v>2036</v>
      </c>
      <c r="B13" s="4">
        <v>11</v>
      </c>
      <c r="C13" s="4">
        <v>54</v>
      </c>
      <c r="D13" s="4">
        <v>54</v>
      </c>
      <c r="E13" s="4">
        <v>13</v>
      </c>
      <c r="F13" s="4" t="s">
        <v>96</v>
      </c>
      <c r="G13" s="17">
        <v>0</v>
      </c>
      <c r="H13" s="17">
        <v>0</v>
      </c>
      <c r="I13" s="19">
        <f t="shared" si="0"/>
        <v>0</v>
      </c>
      <c r="J13" s="19">
        <f t="shared" si="1"/>
        <v>0</v>
      </c>
      <c r="K13" s="19">
        <v>0</v>
      </c>
      <c r="L13" s="19">
        <v>0</v>
      </c>
      <c r="M13" s="19">
        <v>0</v>
      </c>
      <c r="N13" s="19">
        <f t="shared" si="2"/>
        <v>0</v>
      </c>
      <c r="O13" s="19"/>
      <c r="P13" s="19"/>
      <c r="Q13" s="19"/>
      <c r="R13" s="19"/>
      <c r="S13" s="19"/>
      <c r="T13" s="19"/>
      <c r="U13" s="19"/>
      <c r="V13" s="19"/>
      <c r="W13" s="24">
        <v>1.24164375248733</v>
      </c>
      <c r="X13" s="19">
        <f t="shared" si="3"/>
        <v>0</v>
      </c>
      <c r="Y13" s="28"/>
      <c r="Z13" s="28"/>
      <c r="AA13" s="28"/>
      <c r="AB13" s="28"/>
      <c r="AC13" s="28"/>
      <c r="AD13" s="28">
        <f t="shared" si="4"/>
        <v>0</v>
      </c>
      <c r="AE13" s="31">
        <f t="shared" si="5"/>
        <v>0</v>
      </c>
      <c r="AF13" s="32">
        <f t="shared" si="6"/>
        <v>-1</v>
      </c>
      <c r="AG13" s="36"/>
      <c r="AH13" s="36"/>
      <c r="AI13" s="36"/>
      <c r="AJ13" s="36"/>
      <c r="AK13" s="36"/>
      <c r="AL13" s="36"/>
      <c r="AM13" s="36"/>
      <c r="AN13" s="36"/>
      <c r="AO13" s="36"/>
      <c r="AP13" s="39">
        <f t="shared" ref="AP13:AX13" si="46">$AE13*AG13*$AF13</f>
        <v>0</v>
      </c>
      <c r="AQ13" s="39">
        <f t="shared" si="46"/>
        <v>0</v>
      </c>
      <c r="AR13" s="39">
        <f t="shared" si="46"/>
        <v>0</v>
      </c>
      <c r="AS13" s="39">
        <f t="shared" si="46"/>
        <v>0</v>
      </c>
      <c r="AT13" s="39">
        <f t="shared" si="46"/>
        <v>0</v>
      </c>
      <c r="AU13" s="39">
        <f t="shared" si="46"/>
        <v>0</v>
      </c>
      <c r="AV13" s="39">
        <f t="shared" si="46"/>
        <v>0</v>
      </c>
      <c r="AW13" s="39">
        <f t="shared" si="46"/>
        <v>0</v>
      </c>
      <c r="AX13" s="39">
        <f t="shared" si="46"/>
        <v>0</v>
      </c>
      <c r="AY13" s="43">
        <f t="shared" ref="AY13:BA13" si="47">AY12</f>
        <v>0.015</v>
      </c>
      <c r="AZ13" s="43">
        <f t="shared" si="47"/>
        <v>0.03</v>
      </c>
      <c r="BA13" s="43">
        <f t="shared" si="47"/>
        <v>0.03</v>
      </c>
      <c r="BB13" s="43">
        <v>0.023464390221521</v>
      </c>
      <c r="BC13" s="43">
        <v>0.0207340187934124</v>
      </c>
      <c r="BD13" s="43">
        <v>0.0231176032080216</v>
      </c>
      <c r="BE13" s="43">
        <v>0.0118133723708924</v>
      </c>
      <c r="BF13" s="43">
        <v>0.0229123927842116</v>
      </c>
      <c r="BG13" s="43">
        <v>0.018184141993681</v>
      </c>
      <c r="BH13" s="46"/>
      <c r="BI13" s="46"/>
      <c r="BJ13" s="46"/>
      <c r="BK13" s="46"/>
      <c r="BL13" s="46"/>
      <c r="BM13" s="46"/>
      <c r="BN13" s="46"/>
      <c r="BO13" s="53">
        <f t="shared" si="15"/>
        <v>3876.90675141345</v>
      </c>
      <c r="BP13" s="54">
        <f t="shared" si="16"/>
        <v>0.015</v>
      </c>
      <c r="BQ13" s="56">
        <f t="shared" si="17"/>
        <v>0</v>
      </c>
      <c r="BR13" s="56">
        <f t="shared" si="18"/>
        <v>1160334.79237935</v>
      </c>
      <c r="BS13" s="56">
        <f t="shared" si="19"/>
        <v>532508.407747248</v>
      </c>
      <c r="BT13" s="58">
        <v>1487711.54</v>
      </c>
      <c r="BU13" s="58">
        <v>125974.91</v>
      </c>
      <c r="BV13" s="59">
        <v>0.0605582015622008</v>
      </c>
      <c r="BW13" s="60">
        <f t="shared" si="20"/>
        <v>1.16705322498969</v>
      </c>
      <c r="BX13" s="58">
        <f t="shared" si="33"/>
        <v>125974.91</v>
      </c>
      <c r="BY13" s="58">
        <v>141336.61</v>
      </c>
      <c r="BZ13" s="58">
        <f t="shared" si="29"/>
        <v>141336.61</v>
      </c>
      <c r="CA13" s="58">
        <f t="shared" si="9"/>
        <v>0</v>
      </c>
      <c r="CB13" s="59">
        <v>0.034</v>
      </c>
      <c r="CC13" s="60">
        <f t="shared" si="22"/>
        <v>1.32192819153491</v>
      </c>
      <c r="CD13" s="58">
        <f t="shared" ref="CD13:CD23" si="48">CD12*CE13/CE12-AV13</f>
        <v>153062.12</v>
      </c>
      <c r="CE13" s="58">
        <v>153062.12</v>
      </c>
      <c r="CF13" s="58">
        <f t="shared" si="24"/>
        <v>335786</v>
      </c>
      <c r="CG13" s="58">
        <v>335786</v>
      </c>
      <c r="CH13" s="58">
        <f t="shared" ref="CH13:CH24" si="49">CH12*CI13/CI12-AX13</f>
        <v>163393</v>
      </c>
      <c r="CI13" s="58">
        <v>163393</v>
      </c>
    </row>
    <row r="14" spans="1:87">
      <c r="A14" s="4">
        <v>2037</v>
      </c>
      <c r="B14" s="4">
        <v>12</v>
      </c>
      <c r="C14" s="4">
        <v>55</v>
      </c>
      <c r="D14" s="4">
        <v>55</v>
      </c>
      <c r="E14" s="4">
        <v>14</v>
      </c>
      <c r="F14" s="4" t="s">
        <v>97</v>
      </c>
      <c r="G14" s="17">
        <v>0</v>
      </c>
      <c r="H14" s="17">
        <v>0</v>
      </c>
      <c r="I14" s="19">
        <f t="shared" si="0"/>
        <v>0</v>
      </c>
      <c r="J14" s="19">
        <f t="shared" si="1"/>
        <v>0</v>
      </c>
      <c r="K14" s="19">
        <v>0</v>
      </c>
      <c r="L14" s="19">
        <v>0</v>
      </c>
      <c r="M14" s="19">
        <v>0</v>
      </c>
      <c r="N14" s="19">
        <f t="shared" si="2"/>
        <v>0</v>
      </c>
      <c r="O14" s="19"/>
      <c r="P14" s="19"/>
      <c r="Q14" s="19"/>
      <c r="R14" s="19"/>
      <c r="S14" s="19"/>
      <c r="T14" s="19"/>
      <c r="U14" s="19"/>
      <c r="V14" s="19"/>
      <c r="W14" s="24">
        <v>1.26453420398964</v>
      </c>
      <c r="X14" s="19">
        <f t="shared" si="3"/>
        <v>0</v>
      </c>
      <c r="Y14" s="28"/>
      <c r="Z14" s="28"/>
      <c r="AA14" s="28"/>
      <c r="AB14" s="28"/>
      <c r="AC14" s="28"/>
      <c r="AD14" s="28">
        <f t="shared" si="4"/>
        <v>0</v>
      </c>
      <c r="AE14" s="31">
        <f t="shared" si="5"/>
        <v>0</v>
      </c>
      <c r="AF14" s="32">
        <f t="shared" si="6"/>
        <v>-1</v>
      </c>
      <c r="AG14" s="36"/>
      <c r="AH14" s="36"/>
      <c r="AI14" s="36"/>
      <c r="AJ14" s="36"/>
      <c r="AK14" s="36"/>
      <c r="AL14" s="36"/>
      <c r="AM14" s="36"/>
      <c r="AN14" s="36"/>
      <c r="AO14" s="36"/>
      <c r="AP14" s="39">
        <f t="shared" ref="AP14:AX14" si="50">$AE14*AG14*$AF14</f>
        <v>0</v>
      </c>
      <c r="AQ14" s="39">
        <f t="shared" si="50"/>
        <v>0</v>
      </c>
      <c r="AR14" s="39">
        <f t="shared" si="50"/>
        <v>0</v>
      </c>
      <c r="AS14" s="39">
        <f t="shared" si="50"/>
        <v>0</v>
      </c>
      <c r="AT14" s="39">
        <f t="shared" si="50"/>
        <v>0</v>
      </c>
      <c r="AU14" s="39">
        <f t="shared" si="50"/>
        <v>0</v>
      </c>
      <c r="AV14" s="39">
        <f t="shared" si="50"/>
        <v>0</v>
      </c>
      <c r="AW14" s="39">
        <f t="shared" si="50"/>
        <v>0</v>
      </c>
      <c r="AX14" s="39">
        <f t="shared" si="50"/>
        <v>0</v>
      </c>
      <c r="AY14" s="43">
        <f t="shared" ref="AY14:BA14" si="51">AY13</f>
        <v>0.015</v>
      </c>
      <c r="AZ14" s="43">
        <f t="shared" si="51"/>
        <v>0.03</v>
      </c>
      <c r="BA14" s="43">
        <f t="shared" si="51"/>
        <v>0.03</v>
      </c>
      <c r="BB14" s="43">
        <v>0.0258655190883577</v>
      </c>
      <c r="BC14" s="43">
        <v>0.0258487009634811</v>
      </c>
      <c r="BD14" s="43">
        <v>0.040469526140906</v>
      </c>
      <c r="BE14" s="43">
        <v>0.0162617764122599</v>
      </c>
      <c r="BF14" s="43">
        <v>0.0236607183092177</v>
      </c>
      <c r="BG14" s="43">
        <v>0.019485327108455</v>
      </c>
      <c r="BH14" s="46"/>
      <c r="BI14" s="46"/>
      <c r="BJ14" s="46"/>
      <c r="BK14" s="46"/>
      <c r="BL14" s="46"/>
      <c r="BM14" s="46"/>
      <c r="BN14" s="46"/>
      <c r="BO14" s="53">
        <f t="shared" si="15"/>
        <v>3935.06035268465</v>
      </c>
      <c r="BP14" s="54">
        <f t="shared" si="16"/>
        <v>0.015</v>
      </c>
      <c r="BQ14" s="56">
        <f t="shared" si="17"/>
        <v>0</v>
      </c>
      <c r="BR14" s="56">
        <f t="shared" si="18"/>
        <v>1195144.83615073</v>
      </c>
      <c r="BS14" s="56">
        <f t="shared" si="19"/>
        <v>548483.659979665</v>
      </c>
      <c r="BT14" s="58">
        <v>1566043.5</v>
      </c>
      <c r="BU14" s="58">
        <v>135952.54</v>
      </c>
      <c r="BV14" s="59">
        <v>0.0686471931264794</v>
      </c>
      <c r="BW14" s="60">
        <f t="shared" si="20"/>
        <v>1.23772786942244</v>
      </c>
      <c r="BX14" s="58">
        <f t="shared" si="33"/>
        <v>135952.54</v>
      </c>
      <c r="BY14" s="58">
        <v>171267.43</v>
      </c>
      <c r="BZ14" s="58">
        <f t="shared" si="29"/>
        <v>171267.43</v>
      </c>
      <c r="CA14" s="58">
        <f t="shared" si="9"/>
        <v>0</v>
      </c>
      <c r="CB14" s="59">
        <v>0.037</v>
      </c>
      <c r="CC14" s="60">
        <f t="shared" si="22"/>
        <v>1.3668737500471</v>
      </c>
      <c r="CD14" s="58">
        <f t="shared" si="48"/>
        <v>171076.44</v>
      </c>
      <c r="CE14" s="58">
        <v>171076.44</v>
      </c>
      <c r="CF14" s="58">
        <f t="shared" si="24"/>
        <v>347026</v>
      </c>
      <c r="CG14" s="58">
        <v>347026</v>
      </c>
      <c r="CH14" s="58">
        <f t="shared" si="49"/>
        <v>168428</v>
      </c>
      <c r="CI14" s="58">
        <v>168428</v>
      </c>
    </row>
    <row r="15" spans="1:87">
      <c r="A15" s="4">
        <v>2038</v>
      </c>
      <c r="B15" s="4">
        <v>13</v>
      </c>
      <c r="C15" s="4">
        <v>56</v>
      </c>
      <c r="D15" s="4">
        <v>56</v>
      </c>
      <c r="E15" s="4">
        <v>15</v>
      </c>
      <c r="F15" s="4" t="s">
        <v>98</v>
      </c>
      <c r="G15" s="17">
        <v>300000</v>
      </c>
      <c r="H15" s="17">
        <v>411639.257292533</v>
      </c>
      <c r="I15" s="19">
        <f t="shared" si="0"/>
        <v>300000</v>
      </c>
      <c r="J15" s="19">
        <f t="shared" si="1"/>
        <v>411639.257292533</v>
      </c>
      <c r="K15" s="19">
        <v>0</v>
      </c>
      <c r="L15" s="19">
        <v>0</v>
      </c>
      <c r="M15" s="19">
        <v>0</v>
      </c>
      <c r="N15" s="19">
        <f t="shared" si="2"/>
        <v>0</v>
      </c>
      <c r="O15" s="19"/>
      <c r="P15" s="19"/>
      <c r="Q15" s="19"/>
      <c r="R15" s="19"/>
      <c r="S15" s="19"/>
      <c r="T15" s="19"/>
      <c r="U15" s="19"/>
      <c r="V15" s="19"/>
      <c r="W15" s="24">
        <v>1.28714728124881</v>
      </c>
      <c r="X15" s="19">
        <f t="shared" si="3"/>
        <v>411639.257292533</v>
      </c>
      <c r="Y15" s="28"/>
      <c r="Z15" s="28"/>
      <c r="AA15" s="28"/>
      <c r="AB15" s="28"/>
      <c r="AC15" s="28"/>
      <c r="AD15" s="28">
        <f t="shared" si="4"/>
        <v>0</v>
      </c>
      <c r="AE15" s="31">
        <f t="shared" si="5"/>
        <v>-411639.257292533</v>
      </c>
      <c r="AF15" s="32">
        <f t="shared" si="6"/>
        <v>-1</v>
      </c>
      <c r="AG15" s="36"/>
      <c r="AH15" s="36">
        <v>1</v>
      </c>
      <c r="AI15" s="36"/>
      <c r="AJ15" s="36"/>
      <c r="AK15" s="36"/>
      <c r="AL15" s="36"/>
      <c r="AM15" s="36"/>
      <c r="AN15" s="36"/>
      <c r="AO15" s="36"/>
      <c r="AP15" s="39">
        <f t="shared" ref="AP15:AX15" si="52">$AE15*AG15*$AF15</f>
        <v>0</v>
      </c>
      <c r="AQ15" s="39">
        <f t="shared" si="52"/>
        <v>411639.257292533</v>
      </c>
      <c r="AR15" s="39">
        <f t="shared" si="52"/>
        <v>0</v>
      </c>
      <c r="AS15" s="39">
        <f t="shared" si="52"/>
        <v>0</v>
      </c>
      <c r="AT15" s="39">
        <f t="shared" si="52"/>
        <v>0</v>
      </c>
      <c r="AU15" s="39">
        <f t="shared" si="52"/>
        <v>0</v>
      </c>
      <c r="AV15" s="39">
        <f t="shared" si="52"/>
        <v>0</v>
      </c>
      <c r="AW15" s="39">
        <f t="shared" si="52"/>
        <v>0</v>
      </c>
      <c r="AX15" s="39">
        <f t="shared" si="52"/>
        <v>0</v>
      </c>
      <c r="AY15" s="43">
        <f t="shared" ref="AY15:BA15" si="53">AY14</f>
        <v>0.015</v>
      </c>
      <c r="AZ15" s="43">
        <f t="shared" si="53"/>
        <v>0.03</v>
      </c>
      <c r="BA15" s="43">
        <f t="shared" si="53"/>
        <v>0.03</v>
      </c>
      <c r="BB15" s="43">
        <v>0.0381115157329397</v>
      </c>
      <c r="BC15" s="43">
        <v>0.0296353724327887</v>
      </c>
      <c r="BD15" s="43">
        <v>0.0398196653583884</v>
      </c>
      <c r="BE15" s="43">
        <v>0.0199381456654428</v>
      </c>
      <c r="BF15" s="43">
        <v>0.024316363000624</v>
      </c>
      <c r="BG15" s="43">
        <v>0.0205540099601735</v>
      </c>
      <c r="BH15" s="46"/>
      <c r="BI15" s="46"/>
      <c r="BJ15" s="46"/>
      <c r="BK15" s="46"/>
      <c r="BL15" s="46"/>
      <c r="BM15" s="46"/>
      <c r="BN15" s="46"/>
      <c r="BO15" s="53">
        <f t="shared" si="15"/>
        <v>3994.08625797492</v>
      </c>
      <c r="BP15" s="54">
        <f t="shared" si="16"/>
        <v>0.015</v>
      </c>
      <c r="BQ15" s="56">
        <f t="shared" si="17"/>
        <v>0</v>
      </c>
      <c r="BR15" s="56">
        <f t="shared" si="18"/>
        <v>819359.923942717</v>
      </c>
      <c r="BS15" s="56">
        <f t="shared" si="19"/>
        <v>564938.169779055</v>
      </c>
      <c r="BT15" s="58">
        <v>1874522.86</v>
      </c>
      <c r="BU15" s="58">
        <v>145802.29</v>
      </c>
      <c r="BV15" s="59">
        <v>0.0730876682209829</v>
      </c>
      <c r="BW15" s="60">
        <f t="shared" si="20"/>
        <v>1.32269441351271</v>
      </c>
      <c r="BX15" s="58">
        <f t="shared" si="33"/>
        <v>145802.29</v>
      </c>
      <c r="BY15" s="58">
        <v>176969.36</v>
      </c>
      <c r="BZ15" s="58">
        <f t="shared" si="29"/>
        <v>176969.36</v>
      </c>
      <c r="CA15" s="58">
        <f t="shared" si="9"/>
        <v>0</v>
      </c>
      <c r="CB15" s="59">
        <v>0.04</v>
      </c>
      <c r="CC15" s="60">
        <f t="shared" si="22"/>
        <v>1.41744807879884</v>
      </c>
      <c r="CD15" s="58">
        <f t="shared" si="48"/>
        <v>190017.9</v>
      </c>
      <c r="CE15" s="58">
        <v>190017.9</v>
      </c>
      <c r="CF15" s="58">
        <f t="shared" si="24"/>
        <v>358676</v>
      </c>
      <c r="CG15" s="58">
        <v>358676</v>
      </c>
      <c r="CH15" s="58">
        <f t="shared" si="49"/>
        <v>173639</v>
      </c>
      <c r="CI15" s="58">
        <v>173639</v>
      </c>
    </row>
    <row r="16" spans="1:87">
      <c r="A16" s="4">
        <v>2039</v>
      </c>
      <c r="B16" s="4">
        <v>14</v>
      </c>
      <c r="C16" s="4">
        <v>57</v>
      </c>
      <c r="D16" s="4">
        <v>57</v>
      </c>
      <c r="E16" s="4">
        <v>16</v>
      </c>
      <c r="F16" s="4" t="s">
        <v>99</v>
      </c>
      <c r="G16" s="17">
        <v>300000</v>
      </c>
      <c r="H16" s="17">
        <v>422458.797040106</v>
      </c>
      <c r="I16" s="19">
        <f t="shared" si="0"/>
        <v>300000</v>
      </c>
      <c r="J16" s="19">
        <f t="shared" si="1"/>
        <v>422458.797040106</v>
      </c>
      <c r="K16" s="19">
        <v>0</v>
      </c>
      <c r="L16" s="19">
        <v>0</v>
      </c>
      <c r="M16" s="19">
        <v>0</v>
      </c>
      <c r="N16" s="19">
        <f t="shared" si="2"/>
        <v>0</v>
      </c>
      <c r="O16" s="19"/>
      <c r="P16" s="19"/>
      <c r="Q16" s="19"/>
      <c r="R16" s="19"/>
      <c r="S16" s="19"/>
      <c r="T16" s="19"/>
      <c r="U16" s="19"/>
      <c r="V16" s="19"/>
      <c r="W16" s="24">
        <v>1.30947421396307</v>
      </c>
      <c r="X16" s="19">
        <f t="shared" si="3"/>
        <v>422458.797040106</v>
      </c>
      <c r="Y16" s="28"/>
      <c r="Z16" s="28"/>
      <c r="AA16" s="28"/>
      <c r="AB16" s="28"/>
      <c r="AC16" s="28"/>
      <c r="AD16" s="28">
        <f t="shared" si="4"/>
        <v>0</v>
      </c>
      <c r="AE16" s="31">
        <f t="shared" si="5"/>
        <v>-422458.797040106</v>
      </c>
      <c r="AF16" s="32">
        <f t="shared" si="6"/>
        <v>-1</v>
      </c>
      <c r="AG16" s="36"/>
      <c r="AH16" s="36">
        <f>1-AO16</f>
        <v>1</v>
      </c>
      <c r="AI16" s="36"/>
      <c r="AJ16" s="36"/>
      <c r="AK16" s="36"/>
      <c r="AL16" s="36"/>
      <c r="AM16" s="36"/>
      <c r="AN16" s="36"/>
      <c r="AO16" s="36"/>
      <c r="AP16" s="39">
        <f t="shared" ref="AP16:AX16" si="54">$AE16*AG16*$AF16</f>
        <v>0</v>
      </c>
      <c r="AQ16" s="39">
        <f t="shared" si="54"/>
        <v>422458.797040106</v>
      </c>
      <c r="AR16" s="39">
        <f t="shared" si="54"/>
        <v>0</v>
      </c>
      <c r="AS16" s="39">
        <f t="shared" si="54"/>
        <v>0</v>
      </c>
      <c r="AT16" s="39">
        <f t="shared" si="54"/>
        <v>0</v>
      </c>
      <c r="AU16" s="39">
        <f t="shared" si="54"/>
        <v>0</v>
      </c>
      <c r="AV16" s="39">
        <f t="shared" si="54"/>
        <v>0</v>
      </c>
      <c r="AW16" s="39">
        <f t="shared" si="54"/>
        <v>0</v>
      </c>
      <c r="AX16" s="39">
        <f t="shared" si="54"/>
        <v>0</v>
      </c>
      <c r="AY16" s="43">
        <f t="shared" ref="AY16:BA16" si="55">AY15</f>
        <v>0.015</v>
      </c>
      <c r="AZ16" s="43">
        <f t="shared" si="55"/>
        <v>0.03</v>
      </c>
      <c r="BA16" s="43">
        <f t="shared" si="55"/>
        <v>0.03</v>
      </c>
      <c r="BB16" s="43">
        <v>0.0382367203709761</v>
      </c>
      <c r="BC16" s="43">
        <v>0.0327860866786225</v>
      </c>
      <c r="BD16" s="43">
        <v>0.0392804442809229</v>
      </c>
      <c r="BE16" s="43">
        <v>0.0230107172725205</v>
      </c>
      <c r="BF16" s="43">
        <v>0.0248972961518337</v>
      </c>
      <c r="BG16" s="43">
        <v>0.0214517972762125</v>
      </c>
      <c r="BH16" s="46"/>
      <c r="BI16" s="46"/>
      <c r="BJ16" s="46"/>
      <c r="BK16" s="46"/>
      <c r="BL16" s="46"/>
      <c r="BM16" s="46"/>
      <c r="BN16" s="46"/>
      <c r="BO16" s="53">
        <f t="shared" si="15"/>
        <v>4053.99755184454</v>
      </c>
      <c r="BP16" s="54">
        <f t="shared" si="16"/>
        <v>0.015</v>
      </c>
      <c r="BQ16" s="56">
        <f t="shared" si="17"/>
        <v>0</v>
      </c>
      <c r="BR16" s="56">
        <f t="shared" si="18"/>
        <v>421481.924620892</v>
      </c>
      <c r="BS16" s="56">
        <f t="shared" si="19"/>
        <v>581886.314872427</v>
      </c>
      <c r="BT16" s="58">
        <v>1949252.13</v>
      </c>
      <c r="BU16" s="58">
        <v>156148.38</v>
      </c>
      <c r="BV16" s="59">
        <v>0.0716906178432339</v>
      </c>
      <c r="BW16" s="60">
        <f t="shared" si="20"/>
        <v>1.41936706396527</v>
      </c>
      <c r="BX16" s="58">
        <f t="shared" si="33"/>
        <v>156148.38</v>
      </c>
      <c r="BY16" s="58">
        <v>182867.02</v>
      </c>
      <c r="BZ16" s="58">
        <f t="shared" si="29"/>
        <v>182867.02</v>
      </c>
      <c r="CA16" s="58">
        <f t="shared" si="9"/>
        <v>0</v>
      </c>
      <c r="CB16" s="59">
        <v>0.0411101912808234</v>
      </c>
      <c r="CC16" s="60">
        <f t="shared" si="22"/>
        <v>1.4741460019508</v>
      </c>
      <c r="CD16" s="58">
        <f t="shared" si="48"/>
        <v>209925.16</v>
      </c>
      <c r="CE16" s="58">
        <v>209925.16</v>
      </c>
      <c r="CF16" s="58">
        <f t="shared" si="24"/>
        <v>370756</v>
      </c>
      <c r="CG16" s="58">
        <v>370756</v>
      </c>
      <c r="CH16" s="58">
        <f t="shared" si="49"/>
        <v>179036</v>
      </c>
      <c r="CI16" s="58">
        <v>179036</v>
      </c>
    </row>
    <row r="17" spans="1:87">
      <c r="A17" s="4">
        <v>2040</v>
      </c>
      <c r="B17" s="4">
        <v>15</v>
      </c>
      <c r="C17" s="4">
        <v>58</v>
      </c>
      <c r="D17" s="4">
        <v>58</v>
      </c>
      <c r="E17" s="4">
        <v>17</v>
      </c>
      <c r="F17" s="4" t="s">
        <v>100</v>
      </c>
      <c r="G17" s="17">
        <v>300000</v>
      </c>
      <c r="H17" s="17">
        <v>433552.476784376</v>
      </c>
      <c r="I17" s="19">
        <f t="shared" si="0"/>
        <v>300000</v>
      </c>
      <c r="J17" s="19">
        <f t="shared" si="1"/>
        <v>433552.476784376</v>
      </c>
      <c r="K17" s="19">
        <v>0</v>
      </c>
      <c r="L17" s="19">
        <v>0</v>
      </c>
      <c r="M17" s="19">
        <v>0</v>
      </c>
      <c r="N17" s="19">
        <f t="shared" si="2"/>
        <v>0</v>
      </c>
      <c r="O17" s="19"/>
      <c r="P17" s="19"/>
      <c r="Q17" s="19"/>
      <c r="R17" s="19"/>
      <c r="S17" s="19"/>
      <c r="T17" s="19"/>
      <c r="U17" s="19"/>
      <c r="V17" s="19"/>
      <c r="W17" s="24">
        <v>1.33150700445983</v>
      </c>
      <c r="X17" s="19">
        <f t="shared" si="3"/>
        <v>433552.476784376</v>
      </c>
      <c r="Y17" s="28"/>
      <c r="Z17" s="28"/>
      <c r="AA17" s="28"/>
      <c r="AB17" s="28"/>
      <c r="AC17" s="28"/>
      <c r="AD17" s="28">
        <f t="shared" si="4"/>
        <v>0</v>
      </c>
      <c r="AE17" s="31">
        <f t="shared" si="5"/>
        <v>-433552.476784376</v>
      </c>
      <c r="AF17" s="32">
        <f t="shared" si="6"/>
        <v>-1</v>
      </c>
      <c r="AG17" s="36"/>
      <c r="AH17" s="36">
        <v>1</v>
      </c>
      <c r="AI17" s="36"/>
      <c r="AJ17" s="36"/>
      <c r="AK17" s="36"/>
      <c r="AL17" s="36"/>
      <c r="AM17" s="36"/>
      <c r="AN17" s="36"/>
      <c r="AO17" s="36"/>
      <c r="AP17" s="39">
        <f t="shared" ref="AP17:AX17" si="56">$AE17*AG17*$AF17</f>
        <v>0</v>
      </c>
      <c r="AQ17" s="39">
        <f t="shared" si="56"/>
        <v>433552.476784376</v>
      </c>
      <c r="AR17" s="39">
        <f t="shared" si="56"/>
        <v>0</v>
      </c>
      <c r="AS17" s="39">
        <f t="shared" si="56"/>
        <v>0</v>
      </c>
      <c r="AT17" s="39">
        <f t="shared" si="56"/>
        <v>0</v>
      </c>
      <c r="AU17" s="39">
        <f t="shared" si="56"/>
        <v>0</v>
      </c>
      <c r="AV17" s="39">
        <f t="shared" si="56"/>
        <v>0</v>
      </c>
      <c r="AW17" s="39">
        <f t="shared" si="56"/>
        <v>0</v>
      </c>
      <c r="AX17" s="39">
        <f t="shared" si="56"/>
        <v>0</v>
      </c>
      <c r="AY17" s="43">
        <f t="shared" ref="AY17:BA17" si="57">AY16</f>
        <v>0.015</v>
      </c>
      <c r="AZ17" s="43">
        <f t="shared" si="57"/>
        <v>0.03</v>
      </c>
      <c r="BA17" s="43">
        <f t="shared" si="57"/>
        <v>0.03</v>
      </c>
      <c r="BB17" s="43">
        <v>0.0399379117993057</v>
      </c>
      <c r="BC17" s="43">
        <v>0.0355689239043131</v>
      </c>
      <c r="BD17" s="43">
        <v>0.0388295264494547</v>
      </c>
      <c r="BE17" s="43">
        <v>0.0256037690624371</v>
      </c>
      <c r="BF17" s="43">
        <v>0.0254172490414644</v>
      </c>
      <c r="BG17" s="43">
        <v>0.022219558335469</v>
      </c>
      <c r="BH17" s="46"/>
      <c r="BI17" s="46"/>
      <c r="BJ17" s="46"/>
      <c r="BK17" s="46"/>
      <c r="BL17" s="46"/>
      <c r="BM17" s="46"/>
      <c r="BN17" s="46"/>
      <c r="BO17" s="53">
        <f t="shared" si="15"/>
        <v>4114.80751512221</v>
      </c>
      <c r="BP17" s="54">
        <f t="shared" si="16"/>
        <v>0.015</v>
      </c>
      <c r="BQ17" s="56">
        <f t="shared" si="17"/>
        <v>0</v>
      </c>
      <c r="BR17" s="56">
        <f t="shared" si="18"/>
        <v>573.905575142824</v>
      </c>
      <c r="BS17" s="56">
        <f t="shared" si="19"/>
        <v>599342.9043186</v>
      </c>
      <c r="BT17" s="58">
        <v>2074100.49</v>
      </c>
      <c r="BU17" s="58">
        <v>167303.61</v>
      </c>
      <c r="BV17" s="59">
        <v>0.0735454901571013</v>
      </c>
      <c r="BW17" s="60">
        <f t="shared" si="20"/>
        <v>1.52112236572728</v>
      </c>
      <c r="BX17" s="58">
        <f t="shared" si="33"/>
        <v>167303.61</v>
      </c>
      <c r="BY17" s="58">
        <v>188974.67</v>
      </c>
      <c r="BZ17" s="58">
        <f t="shared" si="29"/>
        <v>188974.67</v>
      </c>
      <c r="CA17" s="58">
        <f t="shared" si="9"/>
        <v>0</v>
      </c>
      <c r="CB17" s="59">
        <v>0.0435178403697583</v>
      </c>
      <c r="CC17" s="60">
        <f t="shared" si="22"/>
        <v>1.53474842606686</v>
      </c>
      <c r="CD17" s="58">
        <f t="shared" si="48"/>
        <v>230838.43</v>
      </c>
      <c r="CE17" s="58">
        <v>230838.43</v>
      </c>
      <c r="CF17" s="58">
        <f t="shared" si="24"/>
        <v>383287</v>
      </c>
      <c r="CG17" s="58">
        <v>383287</v>
      </c>
      <c r="CH17" s="58">
        <f t="shared" si="49"/>
        <v>184627</v>
      </c>
      <c r="CI17" s="58">
        <v>184627</v>
      </c>
    </row>
    <row r="18" spans="1:87">
      <c r="A18" s="4">
        <v>2041</v>
      </c>
      <c r="B18" s="4">
        <v>16</v>
      </c>
      <c r="C18" s="4">
        <v>59</v>
      </c>
      <c r="D18" s="4">
        <v>59</v>
      </c>
      <c r="E18" s="4">
        <v>18</v>
      </c>
      <c r="F18" s="4" t="s">
        <v>101</v>
      </c>
      <c r="G18" s="17">
        <v>290000</v>
      </c>
      <c r="H18" s="17">
        <v>412399.064301624</v>
      </c>
      <c r="I18" s="19">
        <f t="shared" si="0"/>
        <v>290000</v>
      </c>
      <c r="J18" s="19">
        <f t="shared" si="1"/>
        <v>412399.064301624</v>
      </c>
      <c r="K18" s="19">
        <v>0</v>
      </c>
      <c r="L18" s="19">
        <v>0</v>
      </c>
      <c r="M18" s="19">
        <v>0</v>
      </c>
      <c r="N18" s="19">
        <f t="shared" si="2"/>
        <v>0</v>
      </c>
      <c r="O18" s="19"/>
      <c r="P18" s="19"/>
      <c r="Q18" s="19"/>
      <c r="R18" s="19"/>
      <c r="S18" s="19"/>
      <c r="T18" s="19"/>
      <c r="U18" s="19"/>
      <c r="V18" s="19"/>
      <c r="W18" s="24">
        <v>1.35323840636494</v>
      </c>
      <c r="X18" s="19">
        <f t="shared" si="3"/>
        <v>412399.064301624</v>
      </c>
      <c r="Y18" s="28"/>
      <c r="Z18" s="28"/>
      <c r="AA18" s="28"/>
      <c r="AB18" s="28"/>
      <c r="AC18" s="28"/>
      <c r="AD18" s="28">
        <f t="shared" si="4"/>
        <v>0</v>
      </c>
      <c r="AE18" s="31">
        <f t="shared" si="5"/>
        <v>-412399.064301624</v>
      </c>
      <c r="AF18" s="32">
        <f t="shared" si="6"/>
        <v>-1</v>
      </c>
      <c r="AG18" s="36"/>
      <c r="AH18" s="36"/>
      <c r="AI18" s="36"/>
      <c r="AJ18" s="36">
        <f t="shared" ref="AJ18:AJ21" si="58">J18/X18</f>
        <v>1</v>
      </c>
      <c r="AK18" s="36"/>
      <c r="AL18" s="36"/>
      <c r="AM18" s="36"/>
      <c r="AN18" s="36"/>
      <c r="AO18" s="36"/>
      <c r="AP18" s="39">
        <f t="shared" ref="AP18:AX18" si="59">$AE18*AG18*$AF18</f>
        <v>0</v>
      </c>
      <c r="AQ18" s="39">
        <f t="shared" si="59"/>
        <v>0</v>
      </c>
      <c r="AR18" s="39">
        <f t="shared" si="59"/>
        <v>0</v>
      </c>
      <c r="AS18" s="39">
        <f t="shared" si="59"/>
        <v>412399.064301624</v>
      </c>
      <c r="AT18" s="39">
        <f t="shared" si="59"/>
        <v>0</v>
      </c>
      <c r="AU18" s="39">
        <f t="shared" si="59"/>
        <v>0</v>
      </c>
      <c r="AV18" s="39">
        <f t="shared" si="59"/>
        <v>0</v>
      </c>
      <c r="AW18" s="39">
        <f t="shared" si="59"/>
        <v>0</v>
      </c>
      <c r="AX18" s="39">
        <f t="shared" si="59"/>
        <v>0</v>
      </c>
      <c r="AY18" s="43">
        <f t="shared" ref="AY18:BA18" si="60">AY17</f>
        <v>0.015</v>
      </c>
      <c r="AZ18" s="43">
        <f t="shared" si="60"/>
        <v>0.03</v>
      </c>
      <c r="BA18" s="43">
        <f t="shared" si="60"/>
        <v>0.03</v>
      </c>
      <c r="BB18" s="43">
        <v>0.0402164655015196</v>
      </c>
      <c r="BC18" s="43">
        <v>0.0371301255580339</v>
      </c>
      <c r="BD18" s="43">
        <v>0.0384478552474254</v>
      </c>
      <c r="BE18" s="43">
        <v>0.027800467926075</v>
      </c>
      <c r="BF18" s="43">
        <v>0.0258854463650169</v>
      </c>
      <c r="BG18" s="43">
        <v>0.0228867802771324</v>
      </c>
      <c r="BH18" s="46"/>
      <c r="BI18" s="46"/>
      <c r="BJ18" s="46"/>
      <c r="BK18" s="46"/>
      <c r="BL18" s="46"/>
      <c r="BM18" s="46"/>
      <c r="BN18" s="46"/>
      <c r="BO18" s="53">
        <f t="shared" si="15"/>
        <v>4176.52962784905</v>
      </c>
      <c r="BP18" s="54">
        <f t="shared" si="16"/>
        <v>0.015</v>
      </c>
      <c r="BQ18" s="56">
        <f t="shared" si="17"/>
        <v>0</v>
      </c>
      <c r="BR18" s="56"/>
      <c r="BS18" s="56">
        <f t="shared" si="19"/>
        <v>617323.191448158</v>
      </c>
      <c r="BT18" s="58">
        <v>1735487.17663887</v>
      </c>
      <c r="BU18" s="58">
        <v>177242.14</v>
      </c>
      <c r="BV18" s="59">
        <v>0.0785280149878012</v>
      </c>
      <c r="BW18" s="60">
        <f t="shared" si="20"/>
        <v>1.63299405570362</v>
      </c>
      <c r="BX18" s="58">
        <f t="shared" si="33"/>
        <v>177242.14</v>
      </c>
      <c r="BY18" s="58">
        <v>195299.67</v>
      </c>
      <c r="BZ18" s="58">
        <f t="shared" si="29"/>
        <v>195299.67</v>
      </c>
      <c r="CA18" s="58">
        <f t="shared" si="9"/>
        <v>257501.993901956</v>
      </c>
      <c r="CB18" s="59">
        <v>0.0412912853373941</v>
      </c>
      <c r="CC18" s="60">
        <f t="shared" si="22"/>
        <v>1.60153736308017</v>
      </c>
      <c r="CD18" s="58">
        <f t="shared" si="48"/>
        <v>252771.98</v>
      </c>
      <c r="CE18" s="58">
        <v>252771.98</v>
      </c>
      <c r="CF18" s="58">
        <f t="shared" si="24"/>
        <v>396281</v>
      </c>
      <c r="CG18" s="58">
        <v>396281</v>
      </c>
      <c r="CH18" s="58">
        <f t="shared" si="49"/>
        <v>190422</v>
      </c>
      <c r="CI18" s="58">
        <v>190422</v>
      </c>
    </row>
    <row r="19" spans="1:87">
      <c r="A19" s="4">
        <v>2042</v>
      </c>
      <c r="B19" s="4">
        <v>17</v>
      </c>
      <c r="C19" s="4">
        <v>60</v>
      </c>
      <c r="D19" s="4">
        <v>60</v>
      </c>
      <c r="E19" s="4">
        <v>19</v>
      </c>
      <c r="F19" s="4" t="s">
        <v>102</v>
      </c>
      <c r="G19" s="17">
        <v>290000</v>
      </c>
      <c r="H19" s="17">
        <v>421858.441305575</v>
      </c>
      <c r="I19" s="19">
        <f t="shared" si="0"/>
        <v>290000</v>
      </c>
      <c r="J19" s="19">
        <f t="shared" si="1"/>
        <v>421858.441305575</v>
      </c>
      <c r="K19" s="19">
        <v>0</v>
      </c>
      <c r="L19" s="19">
        <v>0</v>
      </c>
      <c r="M19" s="19">
        <v>0</v>
      </c>
      <c r="N19" s="19">
        <f t="shared" si="2"/>
        <v>0</v>
      </c>
      <c r="O19" s="19"/>
      <c r="P19" s="19"/>
      <c r="Q19" s="19"/>
      <c r="R19" s="19"/>
      <c r="S19" s="19"/>
      <c r="T19" s="19"/>
      <c r="U19" s="19"/>
      <c r="V19" s="19"/>
      <c r="W19" s="24">
        <v>1.37466190211534</v>
      </c>
      <c r="X19" s="19">
        <f t="shared" si="3"/>
        <v>421858.441305575</v>
      </c>
      <c r="Y19" s="28"/>
      <c r="Z19" s="28"/>
      <c r="AA19" s="28"/>
      <c r="AB19" s="28"/>
      <c r="AC19" s="28"/>
      <c r="AD19" s="28">
        <f t="shared" si="4"/>
        <v>0</v>
      </c>
      <c r="AE19" s="31">
        <f t="shared" si="5"/>
        <v>-421858.441305575</v>
      </c>
      <c r="AF19" s="32">
        <f t="shared" si="6"/>
        <v>-1</v>
      </c>
      <c r="AG19" s="36"/>
      <c r="AH19" s="36"/>
      <c r="AI19" s="36"/>
      <c r="AJ19" s="36">
        <f t="shared" si="58"/>
        <v>1</v>
      </c>
      <c r="AK19" s="36"/>
      <c r="AL19" s="36"/>
      <c r="AM19" s="36"/>
      <c r="AN19" s="36"/>
      <c r="AO19" s="36"/>
      <c r="AP19" s="39">
        <f t="shared" ref="AP19:AX19" si="61">$AE19*AG19*$AF19</f>
        <v>0</v>
      </c>
      <c r="AQ19" s="39">
        <f t="shared" si="61"/>
        <v>0</v>
      </c>
      <c r="AR19" s="39">
        <f t="shared" si="61"/>
        <v>0</v>
      </c>
      <c r="AS19" s="39">
        <f t="shared" si="61"/>
        <v>421858.441305575</v>
      </c>
      <c r="AT19" s="39">
        <f t="shared" si="61"/>
        <v>0</v>
      </c>
      <c r="AU19" s="39">
        <f t="shared" si="61"/>
        <v>0</v>
      </c>
      <c r="AV19" s="39">
        <f t="shared" si="61"/>
        <v>0</v>
      </c>
      <c r="AW19" s="39">
        <f t="shared" si="61"/>
        <v>0</v>
      </c>
      <c r="AX19" s="39">
        <f t="shared" si="61"/>
        <v>0</v>
      </c>
      <c r="AY19" s="43">
        <f t="shared" ref="AY19:BA19" si="62">AY18</f>
        <v>0.015</v>
      </c>
      <c r="AZ19" s="43">
        <f t="shared" si="62"/>
        <v>0.03</v>
      </c>
      <c r="BA19" s="43">
        <f t="shared" si="62"/>
        <v>0.03</v>
      </c>
      <c r="BB19" s="43">
        <v>0.041616312427901</v>
      </c>
      <c r="BC19" s="43">
        <v>0.0390522487835363</v>
      </c>
      <c r="BD19" s="43">
        <v>0.0381223756798104</v>
      </c>
      <c r="BE19" s="43">
        <v>0.0296857164722382</v>
      </c>
      <c r="BF19" s="43">
        <v>0.0263062943954639</v>
      </c>
      <c r="BG19" s="43">
        <v>0.0234753757389885</v>
      </c>
      <c r="BH19" s="46"/>
      <c r="BI19" s="46"/>
      <c r="BJ19" s="46"/>
      <c r="BK19" s="46"/>
      <c r="BL19" s="46"/>
      <c r="BM19" s="46"/>
      <c r="BN19" s="46"/>
      <c r="BO19" s="53">
        <f t="shared" si="15"/>
        <v>4239.17757226678</v>
      </c>
      <c r="BP19" s="54">
        <f t="shared" si="16"/>
        <v>0.015</v>
      </c>
      <c r="BQ19" s="56">
        <f t="shared" si="17"/>
        <v>0</v>
      </c>
      <c r="BR19" s="56"/>
      <c r="BS19" s="56">
        <f t="shared" si="19"/>
        <v>635842.887191602</v>
      </c>
      <c r="BT19" s="58">
        <v>1398058.01025688</v>
      </c>
      <c r="BU19" s="58">
        <v>189307.25</v>
      </c>
      <c r="BV19" s="59">
        <v>0.068624233090111</v>
      </c>
      <c r="BW19" s="60">
        <f t="shared" si="20"/>
        <v>1.7612298373849</v>
      </c>
      <c r="BX19" s="58">
        <f t="shared" si="33"/>
        <v>189307.25</v>
      </c>
      <c r="BY19" s="58">
        <v>201852.37</v>
      </c>
      <c r="BZ19" s="58">
        <f t="shared" si="29"/>
        <v>201852.37</v>
      </c>
      <c r="CA19" s="58">
        <f t="shared" si="9"/>
        <v>252963.251521149</v>
      </c>
      <c r="CB19" s="59">
        <v>0.0427904928068847</v>
      </c>
      <c r="CC19" s="60">
        <f t="shared" si="22"/>
        <v>1.66766689931761</v>
      </c>
      <c r="CD19" s="58">
        <f t="shared" si="48"/>
        <v>275797.59</v>
      </c>
      <c r="CE19" s="58">
        <v>275797.59</v>
      </c>
      <c r="CF19" s="58">
        <f t="shared" si="24"/>
        <v>409728</v>
      </c>
      <c r="CG19" s="58">
        <v>409728</v>
      </c>
      <c r="CH19" s="58">
        <f t="shared" si="49"/>
        <v>196433</v>
      </c>
      <c r="CI19" s="58">
        <v>196433</v>
      </c>
    </row>
    <row r="20" spans="1:87">
      <c r="A20" s="4">
        <v>2043</v>
      </c>
      <c r="B20" s="4">
        <v>18</v>
      </c>
      <c r="C20" s="4">
        <v>61</v>
      </c>
      <c r="D20" s="4">
        <v>61</v>
      </c>
      <c r="E20" s="4">
        <v>20</v>
      </c>
      <c r="F20" s="4" t="s">
        <v>103</v>
      </c>
      <c r="G20" s="17">
        <v>290000</v>
      </c>
      <c r="H20" s="17">
        <v>431495.631089687</v>
      </c>
      <c r="I20" s="19">
        <f t="shared" si="0"/>
        <v>290000</v>
      </c>
      <c r="J20" s="19">
        <f t="shared" si="1"/>
        <v>431495.631089687</v>
      </c>
      <c r="K20" s="19">
        <v>0</v>
      </c>
      <c r="L20" s="19">
        <v>0</v>
      </c>
      <c r="M20" s="19">
        <v>0</v>
      </c>
      <c r="N20" s="19">
        <f t="shared" si="2"/>
        <v>0</v>
      </c>
      <c r="O20" s="19"/>
      <c r="P20" s="19"/>
      <c r="Q20" s="19"/>
      <c r="R20" s="19"/>
      <c r="S20" s="19"/>
      <c r="T20" s="19"/>
      <c r="U20" s="19"/>
      <c r="V20" s="19"/>
      <c r="W20" s="24">
        <v>1.3957716795066</v>
      </c>
      <c r="X20" s="19">
        <f t="shared" si="3"/>
        <v>431495.631089687</v>
      </c>
      <c r="Y20" s="28"/>
      <c r="Z20" s="28"/>
      <c r="AA20" s="28"/>
      <c r="AB20" s="28"/>
      <c r="AC20" s="28"/>
      <c r="AD20" s="28">
        <f t="shared" si="4"/>
        <v>0</v>
      </c>
      <c r="AE20" s="31">
        <f t="shared" si="5"/>
        <v>-431495.631089687</v>
      </c>
      <c r="AF20" s="32">
        <f t="shared" si="6"/>
        <v>-1</v>
      </c>
      <c r="AG20" s="36"/>
      <c r="AH20" s="36"/>
      <c r="AI20" s="36"/>
      <c r="AJ20" s="36">
        <f t="shared" si="58"/>
        <v>1</v>
      </c>
      <c r="AK20" s="36"/>
      <c r="AL20" s="36"/>
      <c r="AM20" s="36"/>
      <c r="AN20" s="36"/>
      <c r="AO20" s="36"/>
      <c r="AP20" s="39">
        <f t="shared" ref="AP20:AX20" si="63">$AE20*AG20*$AF20</f>
        <v>0</v>
      </c>
      <c r="AQ20" s="39">
        <f t="shared" si="63"/>
        <v>0</v>
      </c>
      <c r="AR20" s="39">
        <f t="shared" si="63"/>
        <v>0</v>
      </c>
      <c r="AS20" s="39">
        <f t="shared" si="63"/>
        <v>431495.631089687</v>
      </c>
      <c r="AT20" s="39">
        <f t="shared" si="63"/>
        <v>0</v>
      </c>
      <c r="AU20" s="39">
        <f t="shared" si="63"/>
        <v>0</v>
      </c>
      <c r="AV20" s="39">
        <f t="shared" si="63"/>
        <v>0</v>
      </c>
      <c r="AW20" s="39">
        <f t="shared" si="63"/>
        <v>0</v>
      </c>
      <c r="AX20" s="39">
        <f t="shared" si="63"/>
        <v>0</v>
      </c>
      <c r="AY20" s="43">
        <f t="shared" ref="AY20:BA20" si="64">AY19</f>
        <v>0.015</v>
      </c>
      <c r="AZ20" s="43">
        <f t="shared" si="64"/>
        <v>0.03</v>
      </c>
      <c r="BA20" s="43">
        <f t="shared" si="64"/>
        <v>0.03</v>
      </c>
      <c r="BB20" s="43">
        <v>0.0432724230444741</v>
      </c>
      <c r="BC20" s="43">
        <v>0.042132485618924</v>
      </c>
      <c r="BD20" s="43">
        <v>0.0378414576644788</v>
      </c>
      <c r="BE20" s="43">
        <v>0.0301045508896236</v>
      </c>
      <c r="BF20" s="43">
        <v>0.0266867130743007</v>
      </c>
      <c r="BG20" s="43">
        <v>0.0240525481897853</v>
      </c>
      <c r="BH20" s="46"/>
      <c r="BI20" s="46"/>
      <c r="BJ20" s="46"/>
      <c r="BK20" s="46"/>
      <c r="BL20" s="46"/>
      <c r="BM20" s="46"/>
      <c r="BN20" s="46"/>
      <c r="BO20" s="53">
        <f t="shared" si="15"/>
        <v>4302.76523585078</v>
      </c>
      <c r="BP20" s="54">
        <f t="shared" si="16"/>
        <v>0.015</v>
      </c>
      <c r="BQ20" s="56">
        <f t="shared" si="17"/>
        <v>0</v>
      </c>
      <c r="BR20" s="56"/>
      <c r="BS20" s="56">
        <f t="shared" si="19"/>
        <v>654918.17380735</v>
      </c>
      <c r="BT20" s="58">
        <v>1035993.07544463</v>
      </c>
      <c r="BU20" s="58">
        <v>208347.57</v>
      </c>
      <c r="BV20" s="59">
        <v>0.06</v>
      </c>
      <c r="BW20" s="60">
        <f t="shared" si="20"/>
        <v>1.88209288427086</v>
      </c>
      <c r="BX20" s="58">
        <f t="shared" si="33"/>
        <v>208347.57</v>
      </c>
      <c r="BY20" s="58">
        <v>208637.83</v>
      </c>
      <c r="BZ20" s="58">
        <f t="shared" si="29"/>
        <v>208637.83</v>
      </c>
      <c r="CA20" s="58">
        <f t="shared" si="9"/>
        <v>248124.718303705</v>
      </c>
      <c r="CB20" s="59">
        <v>0.0442871332685877</v>
      </c>
      <c r="CC20" s="60">
        <f t="shared" si="22"/>
        <v>1.73902718777714</v>
      </c>
      <c r="CD20" s="58">
        <f t="shared" si="48"/>
        <v>285429.1</v>
      </c>
      <c r="CE20" s="58">
        <v>285429.1</v>
      </c>
      <c r="CF20" s="58">
        <f t="shared" si="24"/>
        <v>423643</v>
      </c>
      <c r="CG20" s="58">
        <v>423643</v>
      </c>
      <c r="CH20" s="58">
        <f t="shared" si="49"/>
        <v>202831</v>
      </c>
      <c r="CI20" s="58">
        <v>202831</v>
      </c>
    </row>
    <row r="21" spans="1:87">
      <c r="A21" s="4">
        <v>2044</v>
      </c>
      <c r="B21" s="4">
        <v>19</v>
      </c>
      <c r="C21" s="4">
        <v>62</v>
      </c>
      <c r="D21" s="4">
        <v>62</v>
      </c>
      <c r="E21" s="4">
        <v>21</v>
      </c>
      <c r="F21" s="4" t="s">
        <v>104</v>
      </c>
      <c r="G21" s="17">
        <v>290000</v>
      </c>
      <c r="H21" s="17">
        <v>441313.634971671</v>
      </c>
      <c r="I21" s="19">
        <f t="shared" si="0"/>
        <v>290000</v>
      </c>
      <c r="J21" s="19">
        <f t="shared" si="1"/>
        <v>441313.634971671</v>
      </c>
      <c r="K21" s="19">
        <v>0</v>
      </c>
      <c r="L21" s="19">
        <v>0</v>
      </c>
      <c r="M21" s="19">
        <v>0</v>
      </c>
      <c r="N21" s="19">
        <f t="shared" si="2"/>
        <v>0</v>
      </c>
      <c r="O21" s="19"/>
      <c r="P21" s="19"/>
      <c r="Q21" s="19"/>
      <c r="R21" s="19"/>
      <c r="S21" s="19"/>
      <c r="T21" s="19"/>
      <c r="U21" s="19"/>
      <c r="V21" s="19"/>
      <c r="W21" s="24">
        <v>1.41656260745487</v>
      </c>
      <c r="X21" s="19">
        <f t="shared" si="3"/>
        <v>441313.634971671</v>
      </c>
      <c r="Y21" s="28"/>
      <c r="Z21" s="28"/>
      <c r="AA21" s="28"/>
      <c r="AB21" s="28"/>
      <c r="AC21" s="28"/>
      <c r="AD21" s="28">
        <f t="shared" si="4"/>
        <v>0</v>
      </c>
      <c r="AE21" s="31">
        <f t="shared" si="5"/>
        <v>-441313.634971671</v>
      </c>
      <c r="AF21" s="32">
        <f t="shared" si="6"/>
        <v>-1</v>
      </c>
      <c r="AG21" s="36"/>
      <c r="AH21" s="36"/>
      <c r="AI21" s="36"/>
      <c r="AJ21" s="36">
        <f t="shared" si="58"/>
        <v>1</v>
      </c>
      <c r="AK21" s="36"/>
      <c r="AL21" s="36"/>
      <c r="AM21" s="36"/>
      <c r="AN21" s="36"/>
      <c r="AO21" s="36"/>
      <c r="AP21" s="39">
        <f t="shared" ref="AP21:AX21" si="65">$AE21*AG21*$AF21</f>
        <v>0</v>
      </c>
      <c r="AQ21" s="39">
        <f t="shared" si="65"/>
        <v>0</v>
      </c>
      <c r="AR21" s="39">
        <f t="shared" si="65"/>
        <v>0</v>
      </c>
      <c r="AS21" s="39">
        <f t="shared" si="65"/>
        <v>441313.634971671</v>
      </c>
      <c r="AT21" s="39">
        <f t="shared" si="65"/>
        <v>0</v>
      </c>
      <c r="AU21" s="39">
        <f t="shared" si="65"/>
        <v>0</v>
      </c>
      <c r="AV21" s="39">
        <f t="shared" si="65"/>
        <v>0</v>
      </c>
      <c r="AW21" s="39">
        <f t="shared" si="65"/>
        <v>0</v>
      </c>
      <c r="AX21" s="39">
        <f t="shared" si="65"/>
        <v>0</v>
      </c>
      <c r="AY21" s="43">
        <f t="shared" ref="AY21:BA21" si="66">AY20</f>
        <v>0.015</v>
      </c>
      <c r="AZ21" s="43">
        <f t="shared" si="66"/>
        <v>0.03</v>
      </c>
      <c r="BA21" s="43">
        <f t="shared" si="66"/>
        <v>0.03</v>
      </c>
      <c r="BB21" s="43">
        <v>0.0459456071992543</v>
      </c>
      <c r="BC21" s="43">
        <v>0.0434682302449523</v>
      </c>
      <c r="BD21" s="43">
        <v>0.0387627410763614</v>
      </c>
      <c r="BE21" s="43">
        <v>0.0304624396050754</v>
      </c>
      <c r="BF21" s="43">
        <v>0.0270327078438697</v>
      </c>
      <c r="BG21" s="43">
        <v>0.0245626448447027</v>
      </c>
      <c r="BH21" s="46"/>
      <c r="BI21" s="46"/>
      <c r="BJ21" s="46"/>
      <c r="BK21" s="46"/>
      <c r="BL21" s="46"/>
      <c r="BM21" s="46"/>
      <c r="BN21" s="46"/>
      <c r="BO21" s="53">
        <f t="shared" si="15"/>
        <v>4367.30671438854</v>
      </c>
      <c r="BP21" s="54">
        <f t="shared" si="16"/>
        <v>0.015</v>
      </c>
      <c r="BQ21" s="56">
        <f t="shared" si="17"/>
        <v>0</v>
      </c>
      <c r="BR21" s="56"/>
      <c r="BS21" s="56">
        <f t="shared" si="19"/>
        <v>674565.719021571</v>
      </c>
      <c r="BT21" s="58">
        <v>651323.472936597</v>
      </c>
      <c r="BU21" s="58">
        <v>221487.24</v>
      </c>
      <c r="BV21" s="59">
        <v>0.0852791348459603</v>
      </c>
      <c r="BW21" s="60">
        <f t="shared" si="20"/>
        <v>1.99501845732711</v>
      </c>
      <c r="BX21" s="58">
        <f t="shared" si="33"/>
        <v>221487.24</v>
      </c>
      <c r="BY21" s="58">
        <v>219838.6</v>
      </c>
      <c r="BZ21" s="58">
        <f t="shared" si="29"/>
        <v>219838.6</v>
      </c>
      <c r="CA21" s="58">
        <f t="shared" si="9"/>
        <v>243008.266231562</v>
      </c>
      <c r="CB21" s="59">
        <v>0.0457665930563873</v>
      </c>
      <c r="CC21" s="60">
        <f t="shared" si="22"/>
        <v>1.81604371659993</v>
      </c>
      <c r="CD21" s="58">
        <f t="shared" si="48"/>
        <v>295402.44</v>
      </c>
      <c r="CE21" s="58">
        <v>295402.44</v>
      </c>
      <c r="CF21" s="58">
        <f t="shared" si="24"/>
        <v>438045</v>
      </c>
      <c r="CG21" s="58">
        <v>438045</v>
      </c>
      <c r="CH21" s="58">
        <f t="shared" si="49"/>
        <v>209444</v>
      </c>
      <c r="CI21" s="58">
        <v>209444</v>
      </c>
    </row>
    <row r="22" spans="1:87">
      <c r="A22" s="4">
        <v>2045</v>
      </c>
      <c r="B22" s="4">
        <v>20</v>
      </c>
      <c r="C22" s="4">
        <v>63</v>
      </c>
      <c r="D22" s="4">
        <v>63</v>
      </c>
      <c r="E22" s="4">
        <v>22</v>
      </c>
      <c r="F22" s="4" t="s">
        <v>105</v>
      </c>
      <c r="G22" s="17">
        <v>410000</v>
      </c>
      <c r="H22" s="17">
        <v>643153.548689826</v>
      </c>
      <c r="I22" s="19">
        <f t="shared" si="0"/>
        <v>410000</v>
      </c>
      <c r="J22" s="19">
        <f t="shared" si="1"/>
        <v>643153.548689826</v>
      </c>
      <c r="K22" s="19">
        <v>0</v>
      </c>
      <c r="L22" s="19">
        <v>0</v>
      </c>
      <c r="M22" s="19">
        <v>0</v>
      </c>
      <c r="N22" s="19">
        <f t="shared" si="2"/>
        <v>0</v>
      </c>
      <c r="O22" s="19"/>
      <c r="P22" s="19"/>
      <c r="Q22" s="19"/>
      <c r="R22" s="19"/>
      <c r="S22" s="19"/>
      <c r="T22" s="19"/>
      <c r="U22" s="19"/>
      <c r="V22" s="19"/>
      <c r="W22" s="24">
        <v>1.43703021114111</v>
      </c>
      <c r="X22" s="19">
        <f t="shared" si="3"/>
        <v>643153.548689826</v>
      </c>
      <c r="Y22" s="28"/>
      <c r="Z22" s="28"/>
      <c r="AA22" s="28"/>
      <c r="AB22" s="28"/>
      <c r="AC22" s="28"/>
      <c r="AD22" s="28">
        <f t="shared" si="4"/>
        <v>0</v>
      </c>
      <c r="AE22" s="31">
        <f t="shared" si="5"/>
        <v>-643153.548689826</v>
      </c>
      <c r="AF22" s="32">
        <f t="shared" si="6"/>
        <v>-1</v>
      </c>
      <c r="AG22" s="36"/>
      <c r="AH22" s="36"/>
      <c r="AI22" s="36"/>
      <c r="AJ22" s="36">
        <v>1</v>
      </c>
      <c r="AK22" s="36"/>
      <c r="AL22" s="36"/>
      <c r="AM22" s="36"/>
      <c r="AN22" s="36"/>
      <c r="AO22" s="36"/>
      <c r="AP22" s="39">
        <f t="shared" ref="AP22:AX22" si="67">$AE22*AG22*$AF22</f>
        <v>0</v>
      </c>
      <c r="AQ22" s="39">
        <f t="shared" si="67"/>
        <v>0</v>
      </c>
      <c r="AR22" s="39">
        <f t="shared" si="67"/>
        <v>0</v>
      </c>
      <c r="AS22" s="39">
        <f t="shared" si="67"/>
        <v>643153.548689826</v>
      </c>
      <c r="AT22" s="39">
        <f t="shared" si="67"/>
        <v>0</v>
      </c>
      <c r="AU22" s="39">
        <f t="shared" si="67"/>
        <v>0</v>
      </c>
      <c r="AV22" s="39">
        <f t="shared" si="67"/>
        <v>0</v>
      </c>
      <c r="AW22" s="39">
        <f t="shared" si="67"/>
        <v>0</v>
      </c>
      <c r="AX22" s="39">
        <f t="shared" si="67"/>
        <v>0</v>
      </c>
      <c r="AY22" s="43">
        <f t="shared" ref="AY22:BA22" si="68">AY21</f>
        <v>0.015</v>
      </c>
      <c r="AZ22" s="43">
        <f t="shared" si="68"/>
        <v>0.03</v>
      </c>
      <c r="BA22" s="43">
        <f t="shared" si="68"/>
        <v>0.03</v>
      </c>
      <c r="BB22" s="43">
        <v>0.0488368782003024</v>
      </c>
      <c r="BC22" s="43">
        <v>0.045342571787808</v>
      </c>
      <c r="BD22" s="43">
        <v>0.0401088326910235</v>
      </c>
      <c r="BE22" s="43">
        <v>0.0307721582017539</v>
      </c>
      <c r="BF22" s="43">
        <v>0.0273485881367657</v>
      </c>
      <c r="BG22" s="43">
        <v>0.0250171897415312</v>
      </c>
      <c r="BH22" s="46"/>
      <c r="BI22" s="46"/>
      <c r="BJ22" s="46"/>
      <c r="BK22" s="46"/>
      <c r="BL22" s="46"/>
      <c r="BM22" s="46"/>
      <c r="BN22" s="46"/>
      <c r="BO22" s="53">
        <f t="shared" si="15"/>
        <v>4432.81631510437</v>
      </c>
      <c r="BP22" s="54">
        <f t="shared" si="16"/>
        <v>0.015</v>
      </c>
      <c r="BQ22" s="56">
        <f t="shared" si="17"/>
        <v>0</v>
      </c>
      <c r="BR22" s="56"/>
      <c r="BS22" s="56">
        <f t="shared" si="19"/>
        <v>694802.690592218</v>
      </c>
      <c r="BT22" s="58">
        <v>9030.34012049824</v>
      </c>
      <c r="BU22" s="58">
        <v>238293.34</v>
      </c>
      <c r="BV22" s="59">
        <v>0.0656817140451889</v>
      </c>
      <c r="BW22" s="60">
        <f t="shared" si="20"/>
        <v>2.16515190536969</v>
      </c>
      <c r="BX22" s="58">
        <f t="shared" si="33"/>
        <v>238293.34</v>
      </c>
      <c r="BY22" s="58">
        <v>233769.24</v>
      </c>
      <c r="BZ22" s="58">
        <f t="shared" si="29"/>
        <v>233769.24</v>
      </c>
      <c r="CA22" s="58">
        <f t="shared" si="9"/>
        <v>338651.970699141</v>
      </c>
      <c r="CB22" s="59">
        <v>0.0469019165488427</v>
      </c>
      <c r="CC22" s="60">
        <f t="shared" si="22"/>
        <v>1.89915785035016</v>
      </c>
      <c r="CD22" s="58">
        <f t="shared" si="48"/>
        <v>305730.14</v>
      </c>
      <c r="CE22" s="58">
        <v>305730.14</v>
      </c>
      <c r="CF22" s="58">
        <f t="shared" si="24"/>
        <v>452948</v>
      </c>
      <c r="CG22" s="58">
        <v>452948</v>
      </c>
      <c r="CH22" s="58">
        <f t="shared" si="49"/>
        <v>216280</v>
      </c>
      <c r="CI22" s="58">
        <v>216280</v>
      </c>
    </row>
    <row r="23" spans="1:87">
      <c r="A23" s="4">
        <v>2046</v>
      </c>
      <c r="B23" s="4">
        <v>21</v>
      </c>
      <c r="C23" s="4">
        <v>64</v>
      </c>
      <c r="D23" s="4">
        <v>64</v>
      </c>
      <c r="E23" s="4">
        <v>23</v>
      </c>
      <c r="G23" s="17"/>
      <c r="H23" s="17"/>
      <c r="I23" s="19"/>
      <c r="J23" s="19"/>
      <c r="K23" s="19">
        <v>74640</v>
      </c>
      <c r="L23" s="19">
        <v>111482.297495934</v>
      </c>
      <c r="M23" s="19">
        <v>0</v>
      </c>
      <c r="N23" s="19">
        <f t="shared" si="2"/>
        <v>111482.297495934</v>
      </c>
      <c r="O23" s="19"/>
      <c r="P23" s="19"/>
      <c r="Q23" s="19"/>
      <c r="R23" s="19"/>
      <c r="S23" s="19"/>
      <c r="T23" s="19"/>
      <c r="U23" s="19"/>
      <c r="V23" s="19"/>
      <c r="W23" s="24">
        <v>1.45717064669352</v>
      </c>
      <c r="X23" s="19">
        <f t="shared" si="3"/>
        <v>111482.297495934</v>
      </c>
      <c r="Y23" s="28"/>
      <c r="Z23" s="28"/>
      <c r="AA23" s="28"/>
      <c r="AB23" s="28"/>
      <c r="AC23" s="28"/>
      <c r="AD23" s="28">
        <f t="shared" si="4"/>
        <v>0</v>
      </c>
      <c r="AE23" s="31">
        <f t="shared" si="5"/>
        <v>-111482.297495934</v>
      </c>
      <c r="AF23" s="32">
        <f t="shared" si="6"/>
        <v>-1</v>
      </c>
      <c r="AG23" s="36"/>
      <c r="AH23" s="36"/>
      <c r="AI23" s="36">
        <v>0.3</v>
      </c>
      <c r="AJ23" s="36"/>
      <c r="AK23" s="36">
        <v>0.143</v>
      </c>
      <c r="AL23" s="36">
        <v>0.117</v>
      </c>
      <c r="AM23" s="36">
        <v>0.14</v>
      </c>
      <c r="AN23" s="36">
        <v>0.205</v>
      </c>
      <c r="AO23" s="36">
        <f t="shared" ref="AO23:AO49" si="69">1-AK23-AL23-AM23-AN23-AI23</f>
        <v>0.095</v>
      </c>
      <c r="AP23" s="39">
        <f t="shared" ref="AP23:AX23" si="70">$AE23*AG23*$AF23</f>
        <v>0</v>
      </c>
      <c r="AQ23" s="39">
        <f t="shared" si="70"/>
        <v>0</v>
      </c>
      <c r="AR23" s="39">
        <f t="shared" si="70"/>
        <v>33444.6892487802</v>
      </c>
      <c r="AS23" s="39">
        <f t="shared" si="70"/>
        <v>0</v>
      </c>
      <c r="AT23" s="39">
        <f t="shared" si="70"/>
        <v>15941.9685419186</v>
      </c>
      <c r="AU23" s="39">
        <f t="shared" si="70"/>
        <v>13043.4288070243</v>
      </c>
      <c r="AV23" s="39">
        <f t="shared" si="70"/>
        <v>15607.5216494308</v>
      </c>
      <c r="AW23" s="39">
        <f t="shared" si="70"/>
        <v>22853.8709866665</v>
      </c>
      <c r="AX23" s="39">
        <f t="shared" si="70"/>
        <v>10590.8182621137</v>
      </c>
      <c r="AY23" s="43">
        <f t="shared" ref="AY23:BA23" si="71">AY22</f>
        <v>0.015</v>
      </c>
      <c r="AZ23" s="43">
        <f t="shared" si="71"/>
        <v>0.03</v>
      </c>
      <c r="BA23" s="43">
        <f t="shared" si="71"/>
        <v>0.03</v>
      </c>
      <c r="BB23" s="43">
        <v>0.0490995876597526</v>
      </c>
      <c r="BC23" s="43">
        <v>0.0470793826904616</v>
      </c>
      <c r="BD23" s="43">
        <v>0.0402997269865797</v>
      </c>
      <c r="BE23" s="43">
        <v>0.0310431524070249</v>
      </c>
      <c r="BF23" s="43">
        <v>0.0276382817446297</v>
      </c>
      <c r="BG23" s="43">
        <v>0.0254246638559537</v>
      </c>
      <c r="BH23" s="46"/>
      <c r="BI23" s="46"/>
      <c r="BJ23" s="46"/>
      <c r="BK23" s="46"/>
      <c r="BL23" s="46"/>
      <c r="BM23" s="46"/>
      <c r="BN23" s="46"/>
      <c r="BO23" s="53">
        <f t="shared" si="15"/>
        <v>4499.30855983094</v>
      </c>
      <c r="BP23" s="54">
        <f t="shared" si="16"/>
        <v>0.015</v>
      </c>
      <c r="BQ23" s="56">
        <f t="shared" si="17"/>
        <v>0</v>
      </c>
      <c r="BR23" s="56"/>
      <c r="BS23" s="56">
        <f t="shared" si="19"/>
        <v>682202.082061204</v>
      </c>
      <c r="BT23" s="58"/>
      <c r="BU23" s="58">
        <v>256601.11</v>
      </c>
      <c r="BV23" s="59">
        <v>0.0637759564552118</v>
      </c>
      <c r="BW23" s="60">
        <f t="shared" si="20"/>
        <v>2.30736279368258</v>
      </c>
      <c r="BX23" s="58">
        <f t="shared" si="33"/>
        <v>239434.340574378</v>
      </c>
      <c r="BY23" s="58">
        <v>243998.26</v>
      </c>
      <c r="BZ23" s="58">
        <f t="shared" si="29"/>
        <v>230384.091030003</v>
      </c>
      <c r="CA23" s="58">
        <f t="shared" si="9"/>
        <v>0</v>
      </c>
      <c r="CB23" s="59">
        <v>0.0437386477122965</v>
      </c>
      <c r="CC23" s="60">
        <f t="shared" si="22"/>
        <v>1.98823199336037</v>
      </c>
      <c r="CD23" s="58">
        <f t="shared" si="48"/>
        <v>300817.728350569</v>
      </c>
      <c r="CE23" s="58">
        <v>316425.25</v>
      </c>
      <c r="CF23" s="58">
        <f t="shared" si="24"/>
        <v>445516.129013334</v>
      </c>
      <c r="CG23" s="58">
        <v>468370</v>
      </c>
      <c r="CH23" s="58">
        <f t="shared" si="49"/>
        <v>212754.181737886</v>
      </c>
      <c r="CI23" s="58">
        <v>223345</v>
      </c>
    </row>
    <row r="24" spans="1:87">
      <c r="A24" s="4">
        <v>2047</v>
      </c>
      <c r="B24" s="4">
        <v>22</v>
      </c>
      <c r="C24" s="4">
        <v>65</v>
      </c>
      <c r="D24" s="4">
        <v>65</v>
      </c>
      <c r="E24" s="4">
        <v>24</v>
      </c>
      <c r="G24" s="17"/>
      <c r="H24" s="17"/>
      <c r="I24" s="19"/>
      <c r="J24" s="19"/>
      <c r="K24" s="19">
        <v>74640</v>
      </c>
      <c r="L24" s="19">
        <v>112997.883563803</v>
      </c>
      <c r="M24" s="19">
        <v>0</v>
      </c>
      <c r="N24" s="19">
        <f t="shared" si="2"/>
        <v>112997.883563803</v>
      </c>
      <c r="O24" s="19"/>
      <c r="P24" s="19"/>
      <c r="Q24" s="19"/>
      <c r="R24" s="19"/>
      <c r="S24" s="19"/>
      <c r="T24" s="19"/>
      <c r="U24" s="19"/>
      <c r="V24" s="19"/>
      <c r="W24" s="24">
        <v>1.47698067555229</v>
      </c>
      <c r="X24" s="19">
        <f t="shared" si="3"/>
        <v>112997.883563803</v>
      </c>
      <c r="Y24" s="28"/>
      <c r="Z24" s="28"/>
      <c r="AA24" s="28"/>
      <c r="AB24" s="28"/>
      <c r="AC24" s="28"/>
      <c r="AD24" s="28">
        <f t="shared" si="4"/>
        <v>0</v>
      </c>
      <c r="AE24" s="31">
        <f t="shared" si="5"/>
        <v>-112997.883563803</v>
      </c>
      <c r="AF24" s="32">
        <f t="shared" si="6"/>
        <v>-1</v>
      </c>
      <c r="AG24" s="36"/>
      <c r="AH24" s="36"/>
      <c r="AI24" s="36">
        <f t="shared" ref="AI24:AN24" si="72">AI23</f>
        <v>0.3</v>
      </c>
      <c r="AJ24" s="36"/>
      <c r="AK24" s="36">
        <f t="shared" si="72"/>
        <v>0.143</v>
      </c>
      <c r="AL24" s="36">
        <f t="shared" si="72"/>
        <v>0.117</v>
      </c>
      <c r="AM24" s="36">
        <f t="shared" si="72"/>
        <v>0.14</v>
      </c>
      <c r="AN24" s="36">
        <f t="shared" si="72"/>
        <v>0.205</v>
      </c>
      <c r="AO24" s="36">
        <f t="shared" si="69"/>
        <v>0.095</v>
      </c>
      <c r="AP24" s="39">
        <f t="shared" ref="AP24:AX24" si="73">$AE24*AG24*$AF24</f>
        <v>0</v>
      </c>
      <c r="AQ24" s="39">
        <f t="shared" si="73"/>
        <v>0</v>
      </c>
      <c r="AR24" s="39">
        <f t="shared" si="73"/>
        <v>33899.3650691409</v>
      </c>
      <c r="AS24" s="39">
        <f t="shared" si="73"/>
        <v>0</v>
      </c>
      <c r="AT24" s="39">
        <f t="shared" si="73"/>
        <v>16158.6973496238</v>
      </c>
      <c r="AU24" s="39">
        <f t="shared" si="73"/>
        <v>13220.752376965</v>
      </c>
      <c r="AV24" s="39">
        <f t="shared" si="73"/>
        <v>15819.7036989324</v>
      </c>
      <c r="AW24" s="39">
        <f t="shared" si="73"/>
        <v>23164.5661305796</v>
      </c>
      <c r="AX24" s="39">
        <f t="shared" si="73"/>
        <v>10734.7989385613</v>
      </c>
      <c r="AY24" s="43">
        <f t="shared" ref="AY24:BA24" si="74">AY23</f>
        <v>0.015</v>
      </c>
      <c r="AZ24" s="43">
        <f t="shared" si="74"/>
        <v>0.03</v>
      </c>
      <c r="BA24" s="43">
        <f t="shared" si="74"/>
        <v>0.03</v>
      </c>
      <c r="BB24" s="43">
        <v>0.0493117567458703</v>
      </c>
      <c r="BC24" s="43">
        <v>0.0476614273310145</v>
      </c>
      <c r="BD24" s="43">
        <v>0.040444950454575</v>
      </c>
      <c r="BE24" s="43">
        <v>0.0312823267789408</v>
      </c>
      <c r="BF24" s="43">
        <v>0.0279049171143722</v>
      </c>
      <c r="BG24" s="43">
        <v>0.0257922639707517</v>
      </c>
      <c r="BH24" s="46"/>
      <c r="BI24" s="46"/>
      <c r="BJ24" s="46"/>
      <c r="BK24" s="46"/>
      <c r="BL24" s="46"/>
      <c r="BM24" s="46"/>
      <c r="BN24" s="46"/>
      <c r="BO24" s="53">
        <f t="shared" si="15"/>
        <v>4566.7981882284</v>
      </c>
      <c r="BP24" s="54">
        <f t="shared" si="16"/>
        <v>0.015</v>
      </c>
      <c r="BQ24" s="56">
        <f t="shared" si="17"/>
        <v>0</v>
      </c>
      <c r="BR24" s="56"/>
      <c r="BS24" s="56">
        <f t="shared" si="19"/>
        <v>668768.7794539</v>
      </c>
      <c r="BT24" s="58"/>
      <c r="BU24" s="58">
        <v>271042.58</v>
      </c>
      <c r="BV24" s="59">
        <v>0.0613493321885734</v>
      </c>
      <c r="BW24" s="60">
        <f t="shared" si="20"/>
        <v>2.45451706273886</v>
      </c>
      <c r="BX24" s="58">
        <f t="shared" si="33"/>
        <v>235841.561210693</v>
      </c>
      <c r="BY24" s="58">
        <v>254543.76</v>
      </c>
      <c r="BZ24" s="58">
        <f t="shared" si="29"/>
        <v>226549.044878015</v>
      </c>
      <c r="CA24" s="58">
        <f t="shared" si="9"/>
        <v>0</v>
      </c>
      <c r="CB24" s="59">
        <v>0.0443207772163952</v>
      </c>
      <c r="CC24" s="60">
        <f t="shared" si="22"/>
        <v>2.07519457208827</v>
      </c>
      <c r="CD24" s="58">
        <f t="shared" ref="CD24:CD49" si="75">IF(CE$3=0,0,CD23*CE24/CE23-AV24)</f>
        <v>295526.641578874</v>
      </c>
      <c r="CE24" s="58">
        <v>327500.13</v>
      </c>
      <c r="CF24" s="58">
        <f t="shared" si="24"/>
        <v>437530.900557658</v>
      </c>
      <c r="CG24" s="58">
        <v>484328</v>
      </c>
      <c r="CH24" s="58">
        <f t="shared" si="49"/>
        <v>208975.128551637</v>
      </c>
      <c r="CI24" s="58">
        <v>230647</v>
      </c>
    </row>
    <row r="25" spans="1:87">
      <c r="A25" s="4">
        <v>2048</v>
      </c>
      <c r="B25" s="4">
        <v>23</v>
      </c>
      <c r="C25" s="4">
        <v>66</v>
      </c>
      <c r="D25" s="4">
        <v>66</v>
      </c>
      <c r="E25" s="4">
        <v>25</v>
      </c>
      <c r="G25" s="17"/>
      <c r="H25" s="17"/>
      <c r="I25" s="19"/>
      <c r="J25" s="19"/>
      <c r="K25" s="19">
        <v>74640</v>
      </c>
      <c r="L25" s="19">
        <v>114487.988102537</v>
      </c>
      <c r="M25" s="19">
        <v>0</v>
      </c>
      <c r="N25" s="19">
        <f t="shared" si="2"/>
        <v>114487.988102537</v>
      </c>
      <c r="O25" s="19"/>
      <c r="P25" s="19"/>
      <c r="Q25" s="19"/>
      <c r="R25" s="19"/>
      <c r="S25" s="19"/>
      <c r="T25" s="19"/>
      <c r="U25" s="19"/>
      <c r="V25" s="19"/>
      <c r="W25" s="24">
        <v>1.49645763864974</v>
      </c>
      <c r="X25" s="19">
        <f t="shared" si="3"/>
        <v>114487.988102537</v>
      </c>
      <c r="Y25" s="28"/>
      <c r="Z25" s="28"/>
      <c r="AA25" s="28"/>
      <c r="AB25" s="28"/>
      <c r="AC25" s="28"/>
      <c r="AD25" s="28">
        <f t="shared" si="4"/>
        <v>0</v>
      </c>
      <c r="AE25" s="31">
        <f t="shared" si="5"/>
        <v>-114487.988102537</v>
      </c>
      <c r="AF25" s="32">
        <f t="shared" si="6"/>
        <v>-1</v>
      </c>
      <c r="AG25" s="36"/>
      <c r="AH25" s="36"/>
      <c r="AI25" s="36">
        <f t="shared" ref="AI25:AN25" si="76">AI24</f>
        <v>0.3</v>
      </c>
      <c r="AJ25" s="36"/>
      <c r="AK25" s="36">
        <f t="shared" si="76"/>
        <v>0.143</v>
      </c>
      <c r="AL25" s="36">
        <f t="shared" si="76"/>
        <v>0.117</v>
      </c>
      <c r="AM25" s="36">
        <f t="shared" si="76"/>
        <v>0.14</v>
      </c>
      <c r="AN25" s="36">
        <f t="shared" si="76"/>
        <v>0.205</v>
      </c>
      <c r="AO25" s="36">
        <f t="shared" si="69"/>
        <v>0.095</v>
      </c>
      <c r="AP25" s="39">
        <f t="shared" ref="AP25:AX25" si="77">$AE25*AG25*$AF25</f>
        <v>0</v>
      </c>
      <c r="AQ25" s="39">
        <f t="shared" si="77"/>
        <v>0</v>
      </c>
      <c r="AR25" s="39">
        <f t="shared" si="77"/>
        <v>34346.3964307611</v>
      </c>
      <c r="AS25" s="39">
        <f t="shared" si="77"/>
        <v>0</v>
      </c>
      <c r="AT25" s="39">
        <f t="shared" si="77"/>
        <v>16371.7822986628</v>
      </c>
      <c r="AU25" s="39">
        <f t="shared" si="77"/>
        <v>13395.0946079968</v>
      </c>
      <c r="AV25" s="39">
        <f t="shared" si="77"/>
        <v>16028.3183343552</v>
      </c>
      <c r="AW25" s="39">
        <f t="shared" si="77"/>
        <v>23470.0375610201</v>
      </c>
      <c r="AX25" s="39">
        <f t="shared" si="77"/>
        <v>10876.358869741</v>
      </c>
      <c r="AY25" s="43">
        <f t="shared" ref="AY25:BA25" si="78">AY24</f>
        <v>0.015</v>
      </c>
      <c r="AZ25" s="43">
        <f t="shared" si="78"/>
        <v>0.03</v>
      </c>
      <c r="BA25" s="43">
        <f t="shared" si="78"/>
        <v>0.03</v>
      </c>
      <c r="BB25" s="43">
        <v>0.0495390154584809</v>
      </c>
      <c r="BC25" s="43">
        <v>0.0491541686989663</v>
      </c>
      <c r="BD25" s="43">
        <v>0.0406228827167499</v>
      </c>
      <c r="BE25" s="43">
        <v>0.0314941504200619</v>
      </c>
      <c r="BF25" s="43">
        <v>0.0281513314266058</v>
      </c>
      <c r="BG25" s="43">
        <v>0.0261255259134761</v>
      </c>
      <c r="BH25" s="46"/>
      <c r="BI25" s="46"/>
      <c r="BJ25" s="46"/>
      <c r="BK25" s="46"/>
      <c r="BL25" s="46"/>
      <c r="BM25" s="46"/>
      <c r="BN25" s="46"/>
      <c r="BO25" s="53">
        <f t="shared" si="15"/>
        <v>4635.30016105183</v>
      </c>
      <c r="BP25" s="54">
        <f t="shared" si="16"/>
        <v>0.015</v>
      </c>
      <c r="BQ25" s="56">
        <f t="shared" si="17"/>
        <v>0</v>
      </c>
      <c r="BR25" s="56"/>
      <c r="BS25" s="56">
        <f t="shared" si="19"/>
        <v>654485.446406756</v>
      </c>
      <c r="BT25" s="58"/>
      <c r="BU25" s="58">
        <v>292175.44</v>
      </c>
      <c r="BV25" s="59">
        <v>0.0661453151757398</v>
      </c>
      <c r="BW25" s="60">
        <f t="shared" si="20"/>
        <v>2.60510004538335</v>
      </c>
      <c r="BX25" s="58">
        <f t="shared" si="33"/>
        <v>236581.570395047</v>
      </c>
      <c r="BY25" s="58">
        <v>265795.13</v>
      </c>
      <c r="BZ25" s="58">
        <f t="shared" si="29"/>
        <v>222575.803555479</v>
      </c>
      <c r="CA25" s="58">
        <f t="shared" si="9"/>
        <v>0</v>
      </c>
      <c r="CB25" s="59">
        <v>0.0448275609452313</v>
      </c>
      <c r="CC25" s="60">
        <f t="shared" si="22"/>
        <v>2.16716880839847</v>
      </c>
      <c r="CD25" s="58">
        <f t="shared" si="75"/>
        <v>289841.760617701</v>
      </c>
      <c r="CE25" s="58">
        <v>338962.64</v>
      </c>
      <c r="CF25" s="58">
        <f t="shared" si="24"/>
        <v>428979.235033376</v>
      </c>
      <c r="CG25" s="58">
        <v>500842</v>
      </c>
      <c r="CH25" s="58">
        <f t="shared" ref="CH25:CH49" si="79">IF(CI$3=0,0,CH24*CI25/CI24-AX25)</f>
        <v>204935.738383204</v>
      </c>
      <c r="CI25" s="58">
        <v>238193</v>
      </c>
    </row>
    <row r="26" spans="1:87">
      <c r="A26" s="4">
        <v>2049</v>
      </c>
      <c r="B26" s="4">
        <v>24</v>
      </c>
      <c r="C26" s="4">
        <v>67</v>
      </c>
      <c r="D26" s="4">
        <v>67</v>
      </c>
      <c r="E26" s="4">
        <v>26</v>
      </c>
      <c r="G26" s="17"/>
      <c r="H26" s="17"/>
      <c r="I26" s="19"/>
      <c r="J26" s="19"/>
      <c r="K26" s="19">
        <v>74640</v>
      </c>
      <c r="L26" s="19">
        <v>115952.450031929</v>
      </c>
      <c r="M26" s="19">
        <v>0</v>
      </c>
      <c r="N26" s="19">
        <f t="shared" si="2"/>
        <v>115952.450031929</v>
      </c>
      <c r="O26" s="19"/>
      <c r="P26" s="19"/>
      <c r="Q26" s="19"/>
      <c r="R26" s="19"/>
      <c r="S26" s="19"/>
      <c r="T26" s="19"/>
      <c r="U26" s="19"/>
      <c r="V26" s="19"/>
      <c r="W26" s="24">
        <v>1.51559943052739</v>
      </c>
      <c r="X26" s="19">
        <f t="shared" si="3"/>
        <v>115952.450031929</v>
      </c>
      <c r="Y26" s="28"/>
      <c r="Z26" s="28"/>
      <c r="AA26" s="28"/>
      <c r="AB26" s="28"/>
      <c r="AC26" s="28"/>
      <c r="AD26" s="28">
        <f t="shared" si="4"/>
        <v>0</v>
      </c>
      <c r="AE26" s="31">
        <f t="shared" si="5"/>
        <v>-115952.450031929</v>
      </c>
      <c r="AF26" s="32">
        <f t="shared" si="6"/>
        <v>-1</v>
      </c>
      <c r="AG26" s="36"/>
      <c r="AH26" s="36"/>
      <c r="AI26" s="36">
        <f t="shared" ref="AI26:AN26" si="80">AI25</f>
        <v>0.3</v>
      </c>
      <c r="AJ26" s="36"/>
      <c r="AK26" s="36">
        <f t="shared" si="80"/>
        <v>0.143</v>
      </c>
      <c r="AL26" s="36">
        <f t="shared" si="80"/>
        <v>0.117</v>
      </c>
      <c r="AM26" s="36">
        <f t="shared" si="80"/>
        <v>0.14</v>
      </c>
      <c r="AN26" s="36">
        <f t="shared" si="80"/>
        <v>0.205</v>
      </c>
      <c r="AO26" s="36">
        <f t="shared" si="69"/>
        <v>0.095</v>
      </c>
      <c r="AP26" s="39">
        <f t="shared" ref="AP26:AX26" si="81">$AE26*AG26*$AF26</f>
        <v>0</v>
      </c>
      <c r="AQ26" s="39">
        <f t="shared" si="81"/>
        <v>0</v>
      </c>
      <c r="AR26" s="39">
        <f t="shared" si="81"/>
        <v>34785.7350095787</v>
      </c>
      <c r="AS26" s="39">
        <f t="shared" si="81"/>
        <v>0</v>
      </c>
      <c r="AT26" s="39">
        <f t="shared" si="81"/>
        <v>16581.2003545658</v>
      </c>
      <c r="AU26" s="39">
        <f t="shared" si="81"/>
        <v>13566.4366537357</v>
      </c>
      <c r="AV26" s="39">
        <f t="shared" si="81"/>
        <v>16233.3430044701</v>
      </c>
      <c r="AW26" s="39">
        <f t="shared" si="81"/>
        <v>23770.2522565454</v>
      </c>
      <c r="AX26" s="39">
        <f t="shared" si="81"/>
        <v>11015.4827530333</v>
      </c>
      <c r="AY26" s="43">
        <f t="shared" ref="AY26:BA26" si="82">AY25</f>
        <v>0.015</v>
      </c>
      <c r="AZ26" s="43">
        <f t="shared" si="82"/>
        <v>0.03</v>
      </c>
      <c r="BA26" s="43">
        <f t="shared" si="82"/>
        <v>0.03</v>
      </c>
      <c r="BB26" s="43">
        <v>0.0497960303237668</v>
      </c>
      <c r="BC26" s="43">
        <v>0.0500727607056461</v>
      </c>
      <c r="BD26" s="43">
        <v>0.040912823174305</v>
      </c>
      <c r="BE26" s="43">
        <v>0.0316830711112783</v>
      </c>
      <c r="BF26" s="43">
        <v>0.0283796358731074</v>
      </c>
      <c r="BG26" s="43">
        <v>0.0264293225679952</v>
      </c>
      <c r="BH26" s="46"/>
      <c r="BI26" s="46"/>
      <c r="BJ26" s="46"/>
      <c r="BK26" s="46"/>
      <c r="BL26" s="46"/>
      <c r="BM26" s="46"/>
      <c r="BN26" s="46"/>
      <c r="BO26" s="53">
        <f t="shared" si="15"/>
        <v>4704.8296634676</v>
      </c>
      <c r="BP26" s="54">
        <f t="shared" si="16"/>
        <v>0.015</v>
      </c>
      <c r="BQ26" s="56">
        <f t="shared" si="17"/>
        <v>0</v>
      </c>
      <c r="BR26" s="56"/>
      <c r="BS26" s="56">
        <f t="shared" si="19"/>
        <v>639334.27478938</v>
      </c>
      <c r="BT26" s="58"/>
      <c r="BU26" s="58">
        <v>311915.42</v>
      </c>
      <c r="BV26" s="59">
        <v>0.0644807230150488</v>
      </c>
      <c r="BW26" s="60">
        <f t="shared" si="20"/>
        <v>2.77741520894956</v>
      </c>
      <c r="BX26" s="58">
        <f t="shared" si="33"/>
        <v>234864.052301358</v>
      </c>
      <c r="BY26" s="58">
        <v>278299.08</v>
      </c>
      <c r="BZ26" s="58">
        <f t="shared" si="29"/>
        <v>218841.912265803</v>
      </c>
      <c r="CA26" s="58">
        <f t="shared" si="9"/>
        <v>0</v>
      </c>
      <c r="CB26" s="59">
        <v>0.0452503387757166</v>
      </c>
      <c r="CC26" s="60">
        <f t="shared" si="22"/>
        <v>2.26431770023556</v>
      </c>
      <c r="CD26" s="58">
        <f t="shared" si="75"/>
        <v>283752.877182648</v>
      </c>
      <c r="CE26" s="58">
        <v>350826.33</v>
      </c>
      <c r="CF26" s="58">
        <f t="shared" si="24"/>
        <v>419844.273325577</v>
      </c>
      <c r="CG26" s="58">
        <v>517929</v>
      </c>
      <c r="CH26" s="58">
        <f t="shared" si="79"/>
        <v>200630.334531106</v>
      </c>
      <c r="CI26" s="58">
        <v>245992</v>
      </c>
    </row>
    <row r="27" spans="1:87">
      <c r="A27" s="4">
        <v>2050</v>
      </c>
      <c r="B27" s="4">
        <v>25</v>
      </c>
      <c r="C27" s="4">
        <v>68</v>
      </c>
      <c r="D27" s="4">
        <v>68</v>
      </c>
      <c r="E27" s="4">
        <v>27</v>
      </c>
      <c r="G27" s="17"/>
      <c r="H27" s="17"/>
      <c r="I27" s="20"/>
      <c r="J27" s="21"/>
      <c r="K27" s="19">
        <v>74640</v>
      </c>
      <c r="L27" s="19">
        <v>117391.148649667</v>
      </c>
      <c r="M27" s="19">
        <v>0</v>
      </c>
      <c r="N27" s="19">
        <f t="shared" si="2"/>
        <v>117391.148649667</v>
      </c>
      <c r="O27" s="19"/>
      <c r="P27" s="19"/>
      <c r="Q27" s="19"/>
      <c r="R27" s="19"/>
      <c r="S27" s="19"/>
      <c r="T27" s="19"/>
      <c r="U27" s="19"/>
      <c r="V27" s="19"/>
      <c r="W27" s="24">
        <v>1.53440447350099</v>
      </c>
      <c r="X27" s="19">
        <f t="shared" si="3"/>
        <v>117391.148649667</v>
      </c>
      <c r="Y27" s="28"/>
      <c r="Z27" s="28"/>
      <c r="AA27" s="28"/>
      <c r="AB27" s="28"/>
      <c r="AC27" s="28"/>
      <c r="AD27" s="28">
        <f t="shared" si="4"/>
        <v>0</v>
      </c>
      <c r="AE27" s="31">
        <f t="shared" si="5"/>
        <v>-117391.148649667</v>
      </c>
      <c r="AF27" s="32">
        <f t="shared" si="6"/>
        <v>-1</v>
      </c>
      <c r="AG27" s="36"/>
      <c r="AH27" s="36"/>
      <c r="AI27" s="36">
        <f t="shared" ref="AI27:AN27" si="83">AI26</f>
        <v>0.3</v>
      </c>
      <c r="AJ27" s="36"/>
      <c r="AK27" s="36">
        <f t="shared" si="83"/>
        <v>0.143</v>
      </c>
      <c r="AL27" s="36">
        <f t="shared" si="83"/>
        <v>0.117</v>
      </c>
      <c r="AM27" s="36">
        <f t="shared" si="83"/>
        <v>0.14</v>
      </c>
      <c r="AN27" s="36">
        <f t="shared" si="83"/>
        <v>0.205</v>
      </c>
      <c r="AO27" s="36">
        <f t="shared" si="69"/>
        <v>0.095</v>
      </c>
      <c r="AP27" s="39">
        <f t="shared" ref="AP27:AX27" si="84">$AE27*AG27*$AF27</f>
        <v>0</v>
      </c>
      <c r="AQ27" s="39">
        <f t="shared" si="84"/>
        <v>0</v>
      </c>
      <c r="AR27" s="39">
        <f t="shared" si="84"/>
        <v>35217.3445949001</v>
      </c>
      <c r="AS27" s="39">
        <f t="shared" si="84"/>
        <v>0</v>
      </c>
      <c r="AT27" s="39">
        <f t="shared" si="84"/>
        <v>16786.9342569024</v>
      </c>
      <c r="AU27" s="39">
        <f t="shared" si="84"/>
        <v>13734.764392011</v>
      </c>
      <c r="AV27" s="39">
        <f t="shared" si="84"/>
        <v>16434.7608109534</v>
      </c>
      <c r="AW27" s="39">
        <f t="shared" si="84"/>
        <v>24065.1854731817</v>
      </c>
      <c r="AX27" s="39">
        <f t="shared" si="84"/>
        <v>11152.1591217184</v>
      </c>
      <c r="AY27" s="43">
        <f t="shared" ref="AY27:BA27" si="85">AY26</f>
        <v>0.015</v>
      </c>
      <c r="AZ27" s="43">
        <f t="shared" si="85"/>
        <v>0.03</v>
      </c>
      <c r="BA27" s="43">
        <f t="shared" si="85"/>
        <v>0.03</v>
      </c>
      <c r="BB27" s="43">
        <v>0.0499908536877891</v>
      </c>
      <c r="BC27" s="43">
        <v>0.0509935087344615</v>
      </c>
      <c r="BD27" s="43">
        <v>0.0412301746397981</v>
      </c>
      <c r="BE27" s="43">
        <v>0.0318526229636891</v>
      </c>
      <c r="BF27" s="43">
        <v>0.0285917479850679</v>
      </c>
      <c r="BG27" s="43">
        <v>0.0267070671989493</v>
      </c>
      <c r="BH27" s="46"/>
      <c r="BI27" s="46"/>
      <c r="BJ27" s="46"/>
      <c r="BK27" s="46"/>
      <c r="BL27" s="46"/>
      <c r="BM27" s="46"/>
      <c r="BN27" s="46"/>
      <c r="BO27" s="53">
        <f t="shared" si="15"/>
        <v>4775.40210841962</v>
      </c>
      <c r="BP27" s="54">
        <f t="shared" si="16"/>
        <v>0.015</v>
      </c>
      <c r="BQ27" s="56">
        <f t="shared" si="17"/>
        <v>0</v>
      </c>
      <c r="BR27" s="56"/>
      <c r="BS27" s="56">
        <f t="shared" si="19"/>
        <v>623296.958438161</v>
      </c>
      <c r="BT27" s="58"/>
      <c r="BU27" s="58">
        <v>333614.08</v>
      </c>
      <c r="BV27" s="59">
        <v>0.0655161933065398</v>
      </c>
      <c r="BW27" s="60">
        <f t="shared" si="20"/>
        <v>2.95650494973562</v>
      </c>
      <c r="BX27" s="58">
        <f t="shared" si="33"/>
        <v>233247.8372036</v>
      </c>
      <c r="BY27" s="58">
        <v>291730.39</v>
      </c>
      <c r="BZ27" s="58">
        <f t="shared" si="29"/>
        <v>215006.058377947</v>
      </c>
      <c r="CA27" s="58">
        <f t="shared" si="9"/>
        <v>0</v>
      </c>
      <c r="CB27" s="59">
        <v>0.0456123671027484</v>
      </c>
      <c r="CC27" s="60">
        <f t="shared" si="22"/>
        <v>2.36677884326707</v>
      </c>
      <c r="CD27" s="58">
        <f t="shared" si="75"/>
        <v>277249.465819427</v>
      </c>
      <c r="CE27" s="58">
        <v>363105.25</v>
      </c>
      <c r="CF27" s="58">
        <f t="shared" si="24"/>
        <v>410110.061611584</v>
      </c>
      <c r="CG27" s="58">
        <v>535608</v>
      </c>
      <c r="CH27" s="58">
        <f t="shared" si="79"/>
        <v>196050.255947177</v>
      </c>
      <c r="CI27" s="58">
        <v>254050</v>
      </c>
    </row>
    <row r="28" spans="1:87">
      <c r="A28" s="4">
        <v>2051</v>
      </c>
      <c r="B28" s="4">
        <v>26</v>
      </c>
      <c r="C28" s="4">
        <v>69</v>
      </c>
      <c r="D28" s="4">
        <v>69</v>
      </c>
      <c r="E28" s="4">
        <v>28</v>
      </c>
      <c r="I28" s="20"/>
      <c r="J28" s="21"/>
      <c r="K28" s="19">
        <v>74640</v>
      </c>
      <c r="L28" s="19">
        <v>118804.001666165</v>
      </c>
      <c r="M28" s="19">
        <v>0</v>
      </c>
      <c r="N28" s="19">
        <f t="shared" si="2"/>
        <v>118804.001666165</v>
      </c>
      <c r="O28" s="19"/>
      <c r="P28" s="19"/>
      <c r="Q28" s="19"/>
      <c r="R28" s="19"/>
      <c r="S28" s="19"/>
      <c r="T28" s="19"/>
      <c r="U28" s="19"/>
      <c r="V28" s="19"/>
      <c r="W28" s="24">
        <v>1.55287169197403</v>
      </c>
      <c r="X28" s="19">
        <f t="shared" si="3"/>
        <v>118804.001666165</v>
      </c>
      <c r="Y28" s="28"/>
      <c r="Z28" s="28"/>
      <c r="AA28" s="28"/>
      <c r="AB28" s="28"/>
      <c r="AC28" s="28"/>
      <c r="AD28" s="28">
        <f t="shared" si="4"/>
        <v>0</v>
      </c>
      <c r="AE28" s="31">
        <f t="shared" si="5"/>
        <v>-118804.001666165</v>
      </c>
      <c r="AF28" s="32">
        <f t="shared" si="6"/>
        <v>-1</v>
      </c>
      <c r="AG28" s="36"/>
      <c r="AH28" s="36"/>
      <c r="AI28" s="36">
        <f t="shared" ref="AI28:AN28" si="86">AI27</f>
        <v>0.3</v>
      </c>
      <c r="AJ28" s="36"/>
      <c r="AK28" s="36">
        <f t="shared" si="86"/>
        <v>0.143</v>
      </c>
      <c r="AL28" s="36">
        <f t="shared" si="86"/>
        <v>0.117</v>
      </c>
      <c r="AM28" s="36">
        <f t="shared" si="86"/>
        <v>0.14</v>
      </c>
      <c r="AN28" s="36">
        <f t="shared" si="86"/>
        <v>0.205</v>
      </c>
      <c r="AO28" s="36">
        <f t="shared" si="69"/>
        <v>0.095</v>
      </c>
      <c r="AP28" s="39">
        <f t="shared" ref="AP28:AX28" si="87">$AE28*AG28*$AF28</f>
        <v>0</v>
      </c>
      <c r="AQ28" s="39">
        <f t="shared" si="87"/>
        <v>0</v>
      </c>
      <c r="AR28" s="39">
        <f t="shared" si="87"/>
        <v>35641.2004998495</v>
      </c>
      <c r="AS28" s="39">
        <f t="shared" si="87"/>
        <v>0</v>
      </c>
      <c r="AT28" s="39">
        <f t="shared" si="87"/>
        <v>16988.9722382616</v>
      </c>
      <c r="AU28" s="39">
        <f t="shared" si="87"/>
        <v>13900.0681949413</v>
      </c>
      <c r="AV28" s="39">
        <f t="shared" si="87"/>
        <v>16632.5602332631</v>
      </c>
      <c r="AW28" s="39">
        <f t="shared" si="87"/>
        <v>24354.8203415638</v>
      </c>
      <c r="AX28" s="39">
        <f t="shared" si="87"/>
        <v>11286.3801582857</v>
      </c>
      <c r="AY28" s="43">
        <f t="shared" ref="AY28:BA28" si="88">AY27</f>
        <v>0.015</v>
      </c>
      <c r="AZ28" s="43">
        <f t="shared" si="88"/>
        <v>0.03</v>
      </c>
      <c r="BA28" s="43">
        <f t="shared" si="88"/>
        <v>0.03</v>
      </c>
      <c r="BB28" s="43">
        <v>0.0508251932202979</v>
      </c>
      <c r="BC28" s="43">
        <v>0.0517461171401041</v>
      </c>
      <c r="BD28" s="43">
        <v>0.0414879456193664</v>
      </c>
      <c r="BE28" s="43">
        <v>0.0320056455049844</v>
      </c>
      <c r="BF28" s="43">
        <v>0.0287893416080389</v>
      </c>
      <c r="BG28" s="43">
        <v>0.0269619345324073</v>
      </c>
      <c r="BH28" s="46"/>
      <c r="BI28" s="46"/>
      <c r="BJ28" s="46"/>
      <c r="BK28" s="46"/>
      <c r="BL28" s="46"/>
      <c r="BM28" s="46"/>
      <c r="BN28" s="46"/>
      <c r="BO28" s="53">
        <f t="shared" si="15"/>
        <v>4847.03314004591</v>
      </c>
      <c r="BP28" s="54">
        <f t="shared" si="16"/>
        <v>0.015</v>
      </c>
      <c r="BQ28" s="56">
        <f t="shared" si="17"/>
        <v>0</v>
      </c>
      <c r="BR28" s="56"/>
      <c r="BS28" s="56">
        <f t="shared" si="19"/>
        <v>606354.666691456</v>
      </c>
      <c r="BT28" s="58"/>
      <c r="BU28" s="58">
        <v>356051.5</v>
      </c>
      <c r="BV28" s="59">
        <v>0.0632437721568022</v>
      </c>
      <c r="BW28" s="60">
        <f t="shared" si="20"/>
        <v>3.15020389953424</v>
      </c>
      <c r="BX28" s="58">
        <f t="shared" si="33"/>
        <v>230803.487848013</v>
      </c>
      <c r="BY28" s="58">
        <v>305574.55</v>
      </c>
      <c r="BZ28" s="58">
        <f t="shared" si="29"/>
        <v>210649.539982709</v>
      </c>
      <c r="CA28" s="58">
        <f t="shared" si="9"/>
        <v>0</v>
      </c>
      <c r="CB28" s="59">
        <v>0.0458932621536712</v>
      </c>
      <c r="CC28" s="60">
        <f t="shared" si="22"/>
        <v>2.47473322871718</v>
      </c>
      <c r="CD28" s="58">
        <f t="shared" si="75"/>
        <v>270320.634026526</v>
      </c>
      <c r="CE28" s="58">
        <v>375813.93</v>
      </c>
      <c r="CF28" s="58">
        <f t="shared" si="24"/>
        <v>399760.489766938</v>
      </c>
      <c r="CG28" s="58">
        <v>553899</v>
      </c>
      <c r="CH28" s="58">
        <f t="shared" si="79"/>
        <v>191188.274059941</v>
      </c>
      <c r="CI28" s="58">
        <v>262375</v>
      </c>
    </row>
    <row r="29" spans="1:87">
      <c r="A29" s="4">
        <v>2052</v>
      </c>
      <c r="B29" s="4">
        <v>27</v>
      </c>
      <c r="C29" s="4">
        <v>70</v>
      </c>
      <c r="D29" s="4">
        <v>70</v>
      </c>
      <c r="E29" s="4">
        <v>29</v>
      </c>
      <c r="I29" s="20"/>
      <c r="J29" s="21"/>
      <c r="K29" s="19">
        <v>74640</v>
      </c>
      <c r="L29" s="19">
        <v>120190.963257693</v>
      </c>
      <c r="M29" s="19">
        <v>0</v>
      </c>
      <c r="N29" s="19">
        <f t="shared" si="2"/>
        <v>120190.963257693</v>
      </c>
      <c r="O29" s="19"/>
      <c r="P29" s="19"/>
      <c r="Q29" s="19"/>
      <c r="R29" s="19"/>
      <c r="S29" s="19"/>
      <c r="T29" s="19"/>
      <c r="U29" s="19"/>
      <c r="V29" s="19"/>
      <c r="W29" s="24">
        <v>1.57100048699047</v>
      </c>
      <c r="X29" s="19">
        <f t="shared" si="3"/>
        <v>120190.963257693</v>
      </c>
      <c r="Y29" s="28"/>
      <c r="Z29" s="28"/>
      <c r="AA29" s="28"/>
      <c r="AB29" s="28"/>
      <c r="AC29" s="28"/>
      <c r="AD29" s="28">
        <f t="shared" si="4"/>
        <v>0</v>
      </c>
      <c r="AE29" s="31">
        <f t="shared" si="5"/>
        <v>-120190.963257693</v>
      </c>
      <c r="AF29" s="32">
        <f t="shared" si="6"/>
        <v>-1</v>
      </c>
      <c r="AG29" s="36"/>
      <c r="AH29" s="36"/>
      <c r="AI29" s="36">
        <f t="shared" ref="AI29:AN29" si="89">AI28</f>
        <v>0.3</v>
      </c>
      <c r="AJ29" s="36"/>
      <c r="AK29" s="36">
        <f t="shared" si="89"/>
        <v>0.143</v>
      </c>
      <c r="AL29" s="36">
        <f t="shared" si="89"/>
        <v>0.117</v>
      </c>
      <c r="AM29" s="36">
        <f t="shared" si="89"/>
        <v>0.14</v>
      </c>
      <c r="AN29" s="36">
        <f t="shared" si="89"/>
        <v>0.205</v>
      </c>
      <c r="AO29" s="36">
        <f t="shared" si="69"/>
        <v>0.095</v>
      </c>
      <c r="AP29" s="39">
        <f t="shared" ref="AP29:AX29" si="90">$AE29*AG29*$AF29</f>
        <v>0</v>
      </c>
      <c r="AQ29" s="39">
        <f t="shared" si="90"/>
        <v>0</v>
      </c>
      <c r="AR29" s="39">
        <f t="shared" si="90"/>
        <v>36057.2889773079</v>
      </c>
      <c r="AS29" s="39">
        <f t="shared" si="90"/>
        <v>0</v>
      </c>
      <c r="AT29" s="39">
        <f t="shared" si="90"/>
        <v>17187.3077458501</v>
      </c>
      <c r="AU29" s="39">
        <f t="shared" si="90"/>
        <v>14062.3427011501</v>
      </c>
      <c r="AV29" s="39">
        <f t="shared" si="90"/>
        <v>16826.734856077</v>
      </c>
      <c r="AW29" s="39">
        <f t="shared" si="90"/>
        <v>24639.1474678271</v>
      </c>
      <c r="AX29" s="39">
        <f t="shared" si="90"/>
        <v>11418.1415094808</v>
      </c>
      <c r="AY29" s="43">
        <f t="shared" ref="AY29:BA29" si="91">AY28</f>
        <v>0.015</v>
      </c>
      <c r="AZ29" s="43">
        <f t="shared" si="91"/>
        <v>0.03</v>
      </c>
      <c r="BA29" s="43">
        <f t="shared" si="91"/>
        <v>0.03</v>
      </c>
      <c r="BB29" s="43">
        <v>0.0515890353925259</v>
      </c>
      <c r="BC29" s="43">
        <v>0.0525019685774821</v>
      </c>
      <c r="BD29" s="43">
        <v>0.0418523614580928</v>
      </c>
      <c r="BE29" s="43">
        <v>0.0321444493500844</v>
      </c>
      <c r="BF29" s="43">
        <v>0.0289737597433206</v>
      </c>
      <c r="BG29" s="43">
        <v>0.0271967074909332</v>
      </c>
      <c r="BH29" s="46"/>
      <c r="BI29" s="46"/>
      <c r="BJ29" s="46"/>
      <c r="BK29" s="46"/>
      <c r="BL29" s="46"/>
      <c r="BM29" s="46"/>
      <c r="BN29" s="46"/>
      <c r="BO29" s="53">
        <f t="shared" si="15"/>
        <v>4919.7386371466</v>
      </c>
      <c r="BP29" s="54">
        <f t="shared" si="16"/>
        <v>0.015</v>
      </c>
      <c r="BQ29" s="56">
        <f t="shared" si="17"/>
        <v>0</v>
      </c>
      <c r="BR29" s="56"/>
      <c r="BS29" s="56">
        <f t="shared" si="19"/>
        <v>588488.017714892</v>
      </c>
      <c r="BT29" s="58"/>
      <c r="BU29" s="58">
        <v>380624.93</v>
      </c>
      <c r="BV29" s="59">
        <v>0.0573977868700086</v>
      </c>
      <c r="BW29" s="60">
        <f t="shared" si="20"/>
        <v>3.34943467720386</v>
      </c>
      <c r="BX29" s="58">
        <f t="shared" si="33"/>
        <v>228359.222186266</v>
      </c>
      <c r="BY29" s="58">
        <v>321057</v>
      </c>
      <c r="BZ29" s="58">
        <f t="shared" si="29"/>
        <v>206547.619222954</v>
      </c>
      <c r="CA29" s="58">
        <f t="shared" si="9"/>
        <v>0</v>
      </c>
      <c r="CB29" s="59">
        <v>0.0461048692967478</v>
      </c>
      <c r="CC29" s="60">
        <f t="shared" si="22"/>
        <v>2.5883068095431</v>
      </c>
      <c r="CD29" s="58">
        <f t="shared" si="75"/>
        <v>262955.123123648</v>
      </c>
      <c r="CE29" s="58">
        <v>388967.42</v>
      </c>
      <c r="CF29" s="58">
        <f t="shared" si="24"/>
        <v>388777.745338961</v>
      </c>
      <c r="CG29" s="58">
        <v>572821</v>
      </c>
      <c r="CH29" s="58">
        <f t="shared" si="79"/>
        <v>186037.537391583</v>
      </c>
      <c r="CI29" s="58">
        <v>270976</v>
      </c>
    </row>
    <row r="30" spans="1:87">
      <c r="A30" s="4">
        <v>2053</v>
      </c>
      <c r="B30" s="4">
        <v>28</v>
      </c>
      <c r="C30" s="4">
        <v>71</v>
      </c>
      <c r="D30" s="4">
        <v>71</v>
      </c>
      <c r="E30" s="4">
        <v>30</v>
      </c>
      <c r="I30" s="20"/>
      <c r="J30" s="21"/>
      <c r="K30" s="19">
        <v>74640</v>
      </c>
      <c r="L30" s="19">
        <v>121552.022143999</v>
      </c>
      <c r="M30" s="19">
        <v>0</v>
      </c>
      <c r="N30" s="19">
        <f t="shared" si="2"/>
        <v>121552.022143999</v>
      </c>
      <c r="O30" s="19"/>
      <c r="P30" s="19"/>
      <c r="Q30" s="19"/>
      <c r="R30" s="19"/>
      <c r="S30" s="19"/>
      <c r="T30" s="19"/>
      <c r="U30" s="19"/>
      <c r="V30" s="19"/>
      <c r="W30" s="24">
        <v>1.58879071110761</v>
      </c>
      <c r="X30" s="19">
        <f t="shared" si="3"/>
        <v>121552.022143999</v>
      </c>
      <c r="Y30" s="28"/>
      <c r="Z30" s="28"/>
      <c r="AA30" s="28"/>
      <c r="AB30" s="28"/>
      <c r="AC30" s="28"/>
      <c r="AD30" s="28">
        <f t="shared" si="4"/>
        <v>0</v>
      </c>
      <c r="AE30" s="31">
        <f t="shared" si="5"/>
        <v>-121552.022143999</v>
      </c>
      <c r="AF30" s="32">
        <f t="shared" si="6"/>
        <v>-1</v>
      </c>
      <c r="AG30" s="36"/>
      <c r="AH30" s="36"/>
      <c r="AI30" s="36">
        <f t="shared" ref="AI30:AN30" si="92">AI29</f>
        <v>0.3</v>
      </c>
      <c r="AJ30" s="36"/>
      <c r="AK30" s="36">
        <f t="shared" si="92"/>
        <v>0.143</v>
      </c>
      <c r="AL30" s="36">
        <f t="shared" si="92"/>
        <v>0.117</v>
      </c>
      <c r="AM30" s="36">
        <f t="shared" si="92"/>
        <v>0.14</v>
      </c>
      <c r="AN30" s="36">
        <f t="shared" si="92"/>
        <v>0.205</v>
      </c>
      <c r="AO30" s="36">
        <f t="shared" si="69"/>
        <v>0.095</v>
      </c>
      <c r="AP30" s="39">
        <f t="shared" ref="AP30:AX30" si="93">$AE30*AG30*$AF30</f>
        <v>0</v>
      </c>
      <c r="AQ30" s="39">
        <f t="shared" si="93"/>
        <v>0</v>
      </c>
      <c r="AR30" s="39">
        <f t="shared" si="93"/>
        <v>36465.6066431997</v>
      </c>
      <c r="AS30" s="39">
        <f t="shared" si="93"/>
        <v>0</v>
      </c>
      <c r="AT30" s="39">
        <f t="shared" si="93"/>
        <v>17381.9391665919</v>
      </c>
      <c r="AU30" s="39">
        <f t="shared" si="93"/>
        <v>14221.5865908479</v>
      </c>
      <c r="AV30" s="39">
        <f t="shared" si="93"/>
        <v>17017.2831001599</v>
      </c>
      <c r="AW30" s="39">
        <f t="shared" si="93"/>
        <v>24918.1645395198</v>
      </c>
      <c r="AX30" s="39">
        <f t="shared" si="93"/>
        <v>11547.4421036799</v>
      </c>
      <c r="AY30" s="43">
        <f t="shared" ref="AY30:BA30" si="94">AY29</f>
        <v>0.015</v>
      </c>
      <c r="AZ30" s="43">
        <f t="shared" si="94"/>
        <v>0.03</v>
      </c>
      <c r="BA30" s="43">
        <f t="shared" si="94"/>
        <v>0.03</v>
      </c>
      <c r="BB30" s="43">
        <v>0.0523891453304997</v>
      </c>
      <c r="BC30" s="43">
        <v>0.0530047086433707</v>
      </c>
      <c r="BD30" s="43">
        <v>0.0421521514776459</v>
      </c>
      <c r="BE30" s="43">
        <v>0.0322709310132738</v>
      </c>
      <c r="BF30" s="43">
        <v>0.0291462001574898</v>
      </c>
      <c r="BG30" s="43">
        <v>0.0274134064206866</v>
      </c>
      <c r="BH30" s="46"/>
      <c r="BI30" s="46"/>
      <c r="BJ30" s="46"/>
      <c r="BK30" s="46"/>
      <c r="BL30" s="46"/>
      <c r="BM30" s="46"/>
      <c r="BN30" s="46"/>
      <c r="BO30" s="53">
        <f t="shared" si="15"/>
        <v>4993.5347167038</v>
      </c>
      <c r="BP30" s="54">
        <f t="shared" si="16"/>
        <v>0.015</v>
      </c>
      <c r="BQ30" s="56">
        <f t="shared" si="17"/>
        <v>0</v>
      </c>
      <c r="BR30" s="56"/>
      <c r="BS30" s="56">
        <f t="shared" si="19"/>
        <v>569677.051603139</v>
      </c>
      <c r="BT30" s="58"/>
      <c r="BU30" s="58">
        <v>404909.25</v>
      </c>
      <c r="BV30" s="59">
        <v>0.0580417579635977</v>
      </c>
      <c r="BW30" s="60">
        <f t="shared" si="20"/>
        <v>3.54168481494102</v>
      </c>
      <c r="BX30" s="58">
        <f t="shared" si="33"/>
        <v>224437.882811653</v>
      </c>
      <c r="BY30" s="58">
        <v>337013.48</v>
      </c>
      <c r="BZ30" s="58">
        <f t="shared" si="29"/>
        <v>201884.604764698</v>
      </c>
      <c r="CA30" s="58">
        <f t="shared" si="9"/>
        <v>0</v>
      </c>
      <c r="CB30" s="59">
        <v>0.0462439766536336</v>
      </c>
      <c r="CC30" s="60">
        <f t="shared" si="22"/>
        <v>2.70764035669697</v>
      </c>
      <c r="CD30" s="58">
        <f t="shared" si="75"/>
        <v>255141.269535626</v>
      </c>
      <c r="CE30" s="58">
        <v>402581.28</v>
      </c>
      <c r="CF30" s="58">
        <f t="shared" si="24"/>
        <v>377143.917109597</v>
      </c>
      <c r="CG30" s="58">
        <v>592394</v>
      </c>
      <c r="CH30" s="58">
        <f t="shared" si="79"/>
        <v>180589.37154184</v>
      </c>
      <c r="CI30" s="58">
        <v>279860</v>
      </c>
    </row>
    <row r="31" spans="1:87">
      <c r="A31" s="4">
        <v>2054</v>
      </c>
      <c r="B31" s="4">
        <v>29</v>
      </c>
      <c r="C31" s="4">
        <v>72</v>
      </c>
      <c r="D31" s="4">
        <v>72</v>
      </c>
      <c r="E31" s="4">
        <v>31</v>
      </c>
      <c r="I31" s="20"/>
      <c r="J31" s="21"/>
      <c r="K31" s="19">
        <v>74640</v>
      </c>
      <c r="L31" s="19">
        <v>122887.199695966</v>
      </c>
      <c r="M31" s="19">
        <v>0</v>
      </c>
      <c r="N31" s="19">
        <f t="shared" si="2"/>
        <v>122887.199695966</v>
      </c>
      <c r="O31" s="19"/>
      <c r="P31" s="19"/>
      <c r="Q31" s="19"/>
      <c r="R31" s="19"/>
      <c r="S31" s="19"/>
      <c r="T31" s="19"/>
      <c r="U31" s="19"/>
      <c r="V31" s="19"/>
      <c r="W31" s="24">
        <v>1.60624264366149</v>
      </c>
      <c r="X31" s="19">
        <f t="shared" si="3"/>
        <v>122887.199695966</v>
      </c>
      <c r="Y31" s="28"/>
      <c r="Z31" s="28"/>
      <c r="AA31" s="28"/>
      <c r="AB31" s="28"/>
      <c r="AC31" s="28"/>
      <c r="AD31" s="28">
        <f t="shared" si="4"/>
        <v>0</v>
      </c>
      <c r="AE31" s="31">
        <f t="shared" si="5"/>
        <v>-122887.199695966</v>
      </c>
      <c r="AF31" s="32">
        <f t="shared" si="6"/>
        <v>-1</v>
      </c>
      <c r="AG31" s="36"/>
      <c r="AH31" s="36"/>
      <c r="AI31" s="36">
        <f t="shared" ref="AI31:AN31" si="95">AI30</f>
        <v>0.3</v>
      </c>
      <c r="AJ31" s="36"/>
      <c r="AK31" s="36">
        <f t="shared" si="95"/>
        <v>0.143</v>
      </c>
      <c r="AL31" s="36">
        <f t="shared" si="95"/>
        <v>0.117</v>
      </c>
      <c r="AM31" s="36">
        <f t="shared" si="95"/>
        <v>0.14</v>
      </c>
      <c r="AN31" s="36">
        <f t="shared" si="95"/>
        <v>0.205</v>
      </c>
      <c r="AO31" s="36">
        <f t="shared" si="69"/>
        <v>0.095</v>
      </c>
      <c r="AP31" s="39">
        <f t="shared" ref="AP31:AX31" si="96">$AE31*AG31*$AF31</f>
        <v>0</v>
      </c>
      <c r="AQ31" s="39">
        <f t="shared" si="96"/>
        <v>0</v>
      </c>
      <c r="AR31" s="39">
        <f t="shared" si="96"/>
        <v>36866.1599087898</v>
      </c>
      <c r="AS31" s="39">
        <f t="shared" si="96"/>
        <v>0</v>
      </c>
      <c r="AT31" s="39">
        <f t="shared" si="96"/>
        <v>17572.8695565231</v>
      </c>
      <c r="AU31" s="39">
        <f t="shared" si="96"/>
        <v>14377.802364428</v>
      </c>
      <c r="AV31" s="39">
        <f t="shared" si="96"/>
        <v>17204.2079574352</v>
      </c>
      <c r="AW31" s="39">
        <f t="shared" si="96"/>
        <v>25191.875937673</v>
      </c>
      <c r="AX31" s="39">
        <f t="shared" si="96"/>
        <v>11674.2839711168</v>
      </c>
      <c r="AY31" s="43">
        <f t="shared" ref="AY31:BA31" si="97">AY30</f>
        <v>0.015</v>
      </c>
      <c r="AZ31" s="43">
        <f t="shared" si="97"/>
        <v>0.03</v>
      </c>
      <c r="BA31" s="43">
        <f t="shared" si="97"/>
        <v>0.03</v>
      </c>
      <c r="BB31" s="43">
        <v>0.0527293476715822</v>
      </c>
      <c r="BC31" s="43">
        <v>0.0532489219124153</v>
      </c>
      <c r="BD31" s="43">
        <v>0.0425574446498305</v>
      </c>
      <c r="BE31" s="43">
        <v>0.0323866650721187</v>
      </c>
      <c r="BF31" s="43">
        <v>0.0293076794289808</v>
      </c>
      <c r="BG31" s="43">
        <v>0.0276138796826053</v>
      </c>
      <c r="BH31" s="46"/>
      <c r="BI31" s="46"/>
      <c r="BJ31" s="46"/>
      <c r="BK31" s="46"/>
      <c r="BL31" s="46"/>
      <c r="BM31" s="46"/>
      <c r="BN31" s="46"/>
      <c r="BO31" s="53">
        <f t="shared" si="15"/>
        <v>5068.43773745435</v>
      </c>
      <c r="BP31" s="54">
        <f t="shared" si="16"/>
        <v>0.015</v>
      </c>
      <c r="BQ31" s="56">
        <f t="shared" si="17"/>
        <v>0</v>
      </c>
      <c r="BR31" s="56"/>
      <c r="BS31" s="56">
        <f t="shared" si="19"/>
        <v>549901.203242443</v>
      </c>
      <c r="BT31" s="58"/>
      <c r="BU31" s="58">
        <v>428282.54</v>
      </c>
      <c r="BV31" s="59">
        <v>0.0575584839663454</v>
      </c>
      <c r="BW31" s="60">
        <f t="shared" si="20"/>
        <v>3.74725042775317</v>
      </c>
      <c r="BX31" s="58">
        <f t="shared" si="33"/>
        <v>218806.246866528</v>
      </c>
      <c r="BY31" s="58">
        <v>354937.38</v>
      </c>
      <c r="BZ31" s="58">
        <f t="shared" si="29"/>
        <v>197479.261589565</v>
      </c>
      <c r="CA31" s="58">
        <f t="shared" si="9"/>
        <v>0</v>
      </c>
      <c r="CB31" s="59">
        <v>0.0463091137546423</v>
      </c>
      <c r="CC31" s="60">
        <f t="shared" si="22"/>
        <v>2.8328524141385</v>
      </c>
      <c r="CD31" s="58">
        <f t="shared" si="75"/>
        <v>246867.009307507</v>
      </c>
      <c r="CE31" s="58">
        <v>416671.63</v>
      </c>
      <c r="CF31" s="58">
        <f t="shared" si="24"/>
        <v>364840.25654542</v>
      </c>
      <c r="CG31" s="58">
        <v>612638</v>
      </c>
      <c r="CH31" s="58">
        <f t="shared" si="79"/>
        <v>174835.57454241</v>
      </c>
      <c r="CI31" s="58">
        <v>289035</v>
      </c>
    </row>
    <row r="32" spans="1:87">
      <c r="A32" s="4">
        <v>2055</v>
      </c>
      <c r="B32" s="4">
        <v>30</v>
      </c>
      <c r="C32" s="4">
        <v>73</v>
      </c>
      <c r="D32" s="4">
        <v>73</v>
      </c>
      <c r="E32" s="4">
        <v>32</v>
      </c>
      <c r="I32" s="20"/>
      <c r="J32" s="21"/>
      <c r="K32" s="19">
        <v>74640</v>
      </c>
      <c r="L32" s="19">
        <v>124196.548078142</v>
      </c>
      <c r="M32" s="19">
        <v>0</v>
      </c>
      <c r="N32" s="19">
        <f t="shared" si="2"/>
        <v>124196.548078142</v>
      </c>
      <c r="O32" s="19"/>
      <c r="P32" s="19"/>
      <c r="Q32" s="19"/>
      <c r="R32" s="19"/>
      <c r="S32" s="19"/>
      <c r="T32" s="19"/>
      <c r="U32" s="19"/>
      <c r="V32" s="19"/>
      <c r="W32" s="24">
        <v>1.62335696648814</v>
      </c>
      <c r="X32" s="19">
        <f t="shared" si="3"/>
        <v>124196.548078142</v>
      </c>
      <c r="Y32" s="28"/>
      <c r="Z32" s="28"/>
      <c r="AA32" s="28"/>
      <c r="AB32" s="28"/>
      <c r="AC32" s="28"/>
      <c r="AD32" s="28">
        <f t="shared" si="4"/>
        <v>0</v>
      </c>
      <c r="AE32" s="31">
        <f t="shared" si="5"/>
        <v>-124196.548078142</v>
      </c>
      <c r="AF32" s="32">
        <f t="shared" si="6"/>
        <v>-1</v>
      </c>
      <c r="AG32" s="36"/>
      <c r="AH32" s="36"/>
      <c r="AI32" s="36">
        <f t="shared" ref="AI32:AN32" si="98">AI31</f>
        <v>0.3</v>
      </c>
      <c r="AJ32" s="36"/>
      <c r="AK32" s="36">
        <f t="shared" si="98"/>
        <v>0.143</v>
      </c>
      <c r="AL32" s="36">
        <f t="shared" si="98"/>
        <v>0.117</v>
      </c>
      <c r="AM32" s="36">
        <f t="shared" si="98"/>
        <v>0.14</v>
      </c>
      <c r="AN32" s="36">
        <f t="shared" si="98"/>
        <v>0.205</v>
      </c>
      <c r="AO32" s="36">
        <f t="shared" si="69"/>
        <v>0.095</v>
      </c>
      <c r="AP32" s="39">
        <f t="shared" ref="AP32:AX32" si="99">$AE32*AG32*$AF32</f>
        <v>0</v>
      </c>
      <c r="AQ32" s="39">
        <f t="shared" si="99"/>
        <v>0</v>
      </c>
      <c r="AR32" s="39">
        <f t="shared" si="99"/>
        <v>37258.9644234426</v>
      </c>
      <c r="AS32" s="39">
        <f t="shared" si="99"/>
        <v>0</v>
      </c>
      <c r="AT32" s="39">
        <f t="shared" si="99"/>
        <v>17760.1063751743</v>
      </c>
      <c r="AU32" s="39">
        <f t="shared" si="99"/>
        <v>14530.9961251426</v>
      </c>
      <c r="AV32" s="39">
        <f t="shared" si="99"/>
        <v>17387.5167309399</v>
      </c>
      <c r="AW32" s="39">
        <f t="shared" si="99"/>
        <v>25460.2923560191</v>
      </c>
      <c r="AX32" s="39">
        <f t="shared" si="99"/>
        <v>11798.6720674235</v>
      </c>
      <c r="AY32" s="43">
        <f t="shared" ref="AY32:BA32" si="100">AY31</f>
        <v>0.015</v>
      </c>
      <c r="AZ32" s="43">
        <f t="shared" si="100"/>
        <v>0.03</v>
      </c>
      <c r="BA32" s="43">
        <f t="shared" si="100"/>
        <v>0.03</v>
      </c>
      <c r="BB32" s="43">
        <v>0.0531818641303243</v>
      </c>
      <c r="BC32" s="43">
        <v>0.0534818976424627</v>
      </c>
      <c r="BD32" s="43">
        <v>0.0428935711092793</v>
      </c>
      <c r="BE32" s="43">
        <v>0.0324929660630482</v>
      </c>
      <c r="BF32" s="43">
        <v>0.0294591159789557</v>
      </c>
      <c r="BG32" s="43">
        <v>0.027799692328176</v>
      </c>
      <c r="BH32" s="46"/>
      <c r="BI32" s="46"/>
      <c r="BJ32" s="46"/>
      <c r="BK32" s="46"/>
      <c r="BL32" s="46"/>
      <c r="BM32" s="46"/>
      <c r="BN32" s="46"/>
      <c r="BO32" s="53">
        <f t="shared" si="15"/>
        <v>5144.46430351617</v>
      </c>
      <c r="BP32" s="54">
        <f t="shared" si="16"/>
        <v>0.015</v>
      </c>
      <c r="BQ32" s="56">
        <f t="shared" si="17"/>
        <v>0</v>
      </c>
      <c r="BR32" s="56"/>
      <c r="BS32" s="56">
        <f t="shared" si="19"/>
        <v>529139.274916274</v>
      </c>
      <c r="BT32" s="58"/>
      <c r="BU32" s="58">
        <v>453093.1</v>
      </c>
      <c r="BV32" s="59">
        <v>0.0216832935311346</v>
      </c>
      <c r="BW32" s="60">
        <f t="shared" si="20"/>
        <v>3.96293648141689</v>
      </c>
      <c r="BX32" s="58">
        <f t="shared" si="33"/>
        <v>212692.814977382</v>
      </c>
      <c r="BY32" s="58">
        <v>373407.76</v>
      </c>
      <c r="BZ32" s="58">
        <f t="shared" si="29"/>
        <v>192468.603906851</v>
      </c>
      <c r="CA32" s="58">
        <f t="shared" si="9"/>
        <v>0</v>
      </c>
      <c r="CB32" s="59">
        <v>0.046303834858813</v>
      </c>
      <c r="CC32" s="60">
        <f t="shared" si="22"/>
        <v>2.96403929883495</v>
      </c>
      <c r="CD32" s="58">
        <f t="shared" si="75"/>
        <v>238119.83372539</v>
      </c>
      <c r="CE32" s="58">
        <v>431255.13</v>
      </c>
      <c r="CF32" s="58">
        <f t="shared" si="24"/>
        <v>351847.841812132</v>
      </c>
      <c r="CG32" s="58">
        <v>633574</v>
      </c>
      <c r="CH32" s="58">
        <f t="shared" si="79"/>
        <v>168767.669452047</v>
      </c>
      <c r="CI32" s="58">
        <v>298509</v>
      </c>
    </row>
    <row r="33" spans="1:87">
      <c r="A33" s="4">
        <v>2056</v>
      </c>
      <c r="B33" s="4">
        <v>31</v>
      </c>
      <c r="C33" s="4">
        <v>74</v>
      </c>
      <c r="D33" s="4">
        <v>74</v>
      </c>
      <c r="E33" s="4">
        <v>33</v>
      </c>
      <c r="I33" s="20"/>
      <c r="J33" s="21"/>
      <c r="K33" s="19">
        <v>74640</v>
      </c>
      <c r="L33" s="19">
        <v>125480.14843041</v>
      </c>
      <c r="M33" s="19">
        <v>0</v>
      </c>
      <c r="N33" s="19">
        <f t="shared" si="2"/>
        <v>125480.14843041</v>
      </c>
      <c r="O33" s="19"/>
      <c r="P33" s="19"/>
      <c r="Q33" s="19"/>
      <c r="R33" s="19"/>
      <c r="S33" s="19"/>
      <c r="T33" s="19"/>
      <c r="U33" s="19"/>
      <c r="V33" s="19"/>
      <c r="W33" s="24">
        <v>1.64013474015645</v>
      </c>
      <c r="X33" s="19">
        <f t="shared" si="3"/>
        <v>125480.14843041</v>
      </c>
      <c r="Y33" s="28"/>
      <c r="Z33" s="28"/>
      <c r="AA33" s="28"/>
      <c r="AB33" s="28"/>
      <c r="AC33" s="28"/>
      <c r="AD33" s="28">
        <f t="shared" si="4"/>
        <v>0</v>
      </c>
      <c r="AE33" s="31">
        <f t="shared" si="5"/>
        <v>-125480.14843041</v>
      </c>
      <c r="AF33" s="32">
        <f t="shared" si="6"/>
        <v>-1</v>
      </c>
      <c r="AG33" s="36"/>
      <c r="AH33" s="36"/>
      <c r="AI33" s="36">
        <f t="shared" ref="AI33:AN33" si="101">AI32</f>
        <v>0.3</v>
      </c>
      <c r="AJ33" s="36"/>
      <c r="AK33" s="36">
        <f t="shared" si="101"/>
        <v>0.143</v>
      </c>
      <c r="AL33" s="36">
        <f t="shared" si="101"/>
        <v>0.117</v>
      </c>
      <c r="AM33" s="36">
        <f t="shared" si="101"/>
        <v>0.14</v>
      </c>
      <c r="AN33" s="36">
        <f t="shared" si="101"/>
        <v>0.205</v>
      </c>
      <c r="AO33" s="36">
        <f t="shared" si="69"/>
        <v>0.095</v>
      </c>
      <c r="AP33" s="39">
        <f t="shared" ref="AP33:AX33" si="102">$AE33*AG33*$AF33</f>
        <v>0</v>
      </c>
      <c r="AQ33" s="39">
        <f t="shared" si="102"/>
        <v>0</v>
      </c>
      <c r="AR33" s="39">
        <f t="shared" si="102"/>
        <v>37644.044529123</v>
      </c>
      <c r="AS33" s="39">
        <f t="shared" si="102"/>
        <v>0</v>
      </c>
      <c r="AT33" s="39">
        <f t="shared" si="102"/>
        <v>17943.6612255486</v>
      </c>
      <c r="AU33" s="39">
        <f t="shared" si="102"/>
        <v>14681.177366358</v>
      </c>
      <c r="AV33" s="39">
        <f t="shared" si="102"/>
        <v>17567.2207802574</v>
      </c>
      <c r="AW33" s="39">
        <f t="shared" si="102"/>
        <v>25723.430428234</v>
      </c>
      <c r="AX33" s="39">
        <f t="shared" si="102"/>
        <v>11920.614100889</v>
      </c>
      <c r="AY33" s="43">
        <f t="shared" ref="AY33:BA33" si="103">AY32</f>
        <v>0.015</v>
      </c>
      <c r="AZ33" s="43">
        <f t="shared" si="103"/>
        <v>0.03</v>
      </c>
      <c r="BA33" s="43">
        <f t="shared" si="103"/>
        <v>0.03</v>
      </c>
      <c r="BB33" s="43">
        <v>0.0535858255769255</v>
      </c>
      <c r="BC33" s="43">
        <v>0.0536984803585099</v>
      </c>
      <c r="BD33" s="43">
        <v>0.0428918084510916</v>
      </c>
      <c r="BE33" s="43">
        <v>0.0325909454866475</v>
      </c>
      <c r="BF33" s="43">
        <v>0.0296012453837917</v>
      </c>
      <c r="BG33" s="43">
        <v>0.0279721784588562</v>
      </c>
      <c r="BH33" s="46"/>
      <c r="BI33" s="46"/>
      <c r="BJ33" s="46"/>
      <c r="BK33" s="46"/>
      <c r="BL33" s="46"/>
      <c r="BM33" s="46"/>
      <c r="BN33" s="46"/>
      <c r="BO33" s="53">
        <f t="shared" si="15"/>
        <v>5221.63126806891</v>
      </c>
      <c r="BP33" s="54">
        <f t="shared" si="16"/>
        <v>0.015</v>
      </c>
      <c r="BQ33" s="56">
        <f t="shared" si="17"/>
        <v>0</v>
      </c>
      <c r="BR33" s="56"/>
      <c r="BS33" s="56">
        <f t="shared" si="19"/>
        <v>507369.408634639</v>
      </c>
      <c r="BT33" s="58"/>
      <c r="BU33" s="58">
        <v>479376.12</v>
      </c>
      <c r="BV33" s="59">
        <v>0.106897383826364</v>
      </c>
      <c r="BW33" s="60">
        <f t="shared" si="20"/>
        <v>4.04886599638869</v>
      </c>
      <c r="BX33" s="58">
        <f t="shared" si="33"/>
        <v>206046.160709217</v>
      </c>
      <c r="BY33" s="58">
        <v>389405.41</v>
      </c>
      <c r="BZ33" s="58">
        <f t="shared" si="29"/>
        <v>185404.250101405</v>
      </c>
      <c r="CA33" s="58">
        <f t="shared" si="9"/>
        <v>0</v>
      </c>
      <c r="CB33" s="59">
        <v>0.0441232782928611</v>
      </c>
      <c r="CC33" s="60">
        <f t="shared" si="22"/>
        <v>3.10128568504324</v>
      </c>
      <c r="CD33" s="58">
        <f t="shared" si="75"/>
        <v>228886.807373991</v>
      </c>
      <c r="CE33" s="58">
        <v>446349.06</v>
      </c>
      <c r="CF33" s="58">
        <f t="shared" si="24"/>
        <v>338146.372637909</v>
      </c>
      <c r="CG33" s="58">
        <v>655222</v>
      </c>
      <c r="CH33" s="58">
        <f t="shared" si="79"/>
        <v>162376.927398268</v>
      </c>
      <c r="CI33" s="58">
        <v>308290</v>
      </c>
    </row>
    <row r="34" spans="1:87">
      <c r="A34" s="4">
        <v>2057</v>
      </c>
      <c r="B34" s="4">
        <v>32</v>
      </c>
      <c r="C34" s="4">
        <v>75</v>
      </c>
      <c r="D34" s="4">
        <v>75</v>
      </c>
      <c r="E34" s="4">
        <v>34</v>
      </c>
      <c r="I34" s="20"/>
      <c r="J34" s="21"/>
      <c r="K34" s="19">
        <v>74640</v>
      </c>
      <c r="L34" s="19">
        <v>126738.109092471</v>
      </c>
      <c r="M34" s="19">
        <v>0</v>
      </c>
      <c r="N34" s="19">
        <f t="shared" si="2"/>
        <v>126738.109092471</v>
      </c>
      <c r="O34" s="19"/>
      <c r="P34" s="19"/>
      <c r="Q34" s="19"/>
      <c r="R34" s="19"/>
      <c r="S34" s="19"/>
      <c r="T34" s="19"/>
      <c r="U34" s="19"/>
      <c r="V34" s="19"/>
      <c r="W34" s="24">
        <v>1.6565773807606</v>
      </c>
      <c r="X34" s="19">
        <f t="shared" si="3"/>
        <v>126738.109092471</v>
      </c>
      <c r="Y34" s="28"/>
      <c r="Z34" s="28"/>
      <c r="AA34" s="28"/>
      <c r="AB34" s="28"/>
      <c r="AC34" s="28"/>
      <c r="AD34" s="28">
        <f t="shared" si="4"/>
        <v>0</v>
      </c>
      <c r="AE34" s="31">
        <f t="shared" si="5"/>
        <v>-126738.109092471</v>
      </c>
      <c r="AF34" s="32">
        <f t="shared" si="6"/>
        <v>-1</v>
      </c>
      <c r="AG34" s="36"/>
      <c r="AH34" s="36"/>
      <c r="AI34" s="36">
        <f t="shared" ref="AI34:AN34" si="104">AI33</f>
        <v>0.3</v>
      </c>
      <c r="AJ34" s="36"/>
      <c r="AK34" s="36">
        <f t="shared" si="104"/>
        <v>0.143</v>
      </c>
      <c r="AL34" s="36">
        <f t="shared" si="104"/>
        <v>0.117</v>
      </c>
      <c r="AM34" s="36">
        <f t="shared" si="104"/>
        <v>0.14</v>
      </c>
      <c r="AN34" s="36">
        <f t="shared" si="104"/>
        <v>0.205</v>
      </c>
      <c r="AO34" s="36">
        <f t="shared" si="69"/>
        <v>0.095</v>
      </c>
      <c r="AP34" s="39">
        <f t="shared" ref="AP34:AX34" si="105">$AE34*AG34*$AF34</f>
        <v>0</v>
      </c>
      <c r="AQ34" s="39">
        <f t="shared" si="105"/>
        <v>0</v>
      </c>
      <c r="AR34" s="39">
        <f t="shared" si="105"/>
        <v>38021.4327277413</v>
      </c>
      <c r="AS34" s="39">
        <f t="shared" si="105"/>
        <v>0</v>
      </c>
      <c r="AT34" s="39">
        <f t="shared" si="105"/>
        <v>18123.5496002234</v>
      </c>
      <c r="AU34" s="39">
        <f t="shared" si="105"/>
        <v>14828.3587638191</v>
      </c>
      <c r="AV34" s="39">
        <f t="shared" si="105"/>
        <v>17743.3352729459</v>
      </c>
      <c r="AW34" s="39">
        <f t="shared" si="105"/>
        <v>25981.3123639566</v>
      </c>
      <c r="AX34" s="39">
        <f t="shared" si="105"/>
        <v>12040.1203637847</v>
      </c>
      <c r="AY34" s="43">
        <f t="shared" ref="AY34:BA34" si="106">AY33</f>
        <v>0.015</v>
      </c>
      <c r="AZ34" s="43">
        <f t="shared" si="106"/>
        <v>0.03</v>
      </c>
      <c r="BA34" s="43">
        <f t="shared" si="106"/>
        <v>0.03</v>
      </c>
      <c r="BB34" s="43">
        <v>0.0538935136361889</v>
      </c>
      <c r="BC34" s="43">
        <v>0.0539260609581187</v>
      </c>
      <c r="BD34" s="43">
        <v>0.0429010995348758</v>
      </c>
      <c r="BE34" s="43">
        <v>0.0326815445945181</v>
      </c>
      <c r="BF34" s="43">
        <v>0.0297347477689909</v>
      </c>
      <c r="BG34" s="43">
        <v>0.0281325913618427</v>
      </c>
      <c r="BH34" s="46"/>
      <c r="BI34" s="46"/>
      <c r="BJ34" s="46"/>
      <c r="BK34" s="46"/>
      <c r="BL34" s="46"/>
      <c r="BM34" s="46"/>
      <c r="BN34" s="46"/>
      <c r="BO34" s="53">
        <f t="shared" si="15"/>
        <v>5299.95573708994</v>
      </c>
      <c r="BP34" s="54">
        <f t="shared" si="16"/>
        <v>0.015</v>
      </c>
      <c r="BQ34" s="56">
        <f t="shared" si="17"/>
        <v>0</v>
      </c>
      <c r="BR34" s="56"/>
      <c r="BS34" s="56">
        <f t="shared" si="19"/>
        <v>484569.058165937</v>
      </c>
      <c r="BT34" s="58"/>
      <c r="BU34" s="58">
        <v>507661.06</v>
      </c>
      <c r="BV34" s="59">
        <v>0.0665262650954217</v>
      </c>
      <c r="BW34" s="60">
        <f t="shared" si="20"/>
        <v>4.48167917886617</v>
      </c>
      <c r="BX34" s="58">
        <f t="shared" si="33"/>
        <v>199010.73076723</v>
      </c>
      <c r="BY34" s="58">
        <v>406216.57</v>
      </c>
      <c r="BZ34" s="58">
        <f t="shared" si="29"/>
        <v>177939.884050011</v>
      </c>
      <c r="CA34" s="58">
        <f t="shared" si="9"/>
        <v>0</v>
      </c>
      <c r="CB34" s="59">
        <v>0.0454106415992048</v>
      </c>
      <c r="CC34" s="60">
        <f t="shared" si="22"/>
        <v>3.23812457639007</v>
      </c>
      <c r="CD34" s="58">
        <f t="shared" si="75"/>
        <v>219154.511846248</v>
      </c>
      <c r="CE34" s="58">
        <v>461971.28</v>
      </c>
      <c r="CF34" s="58">
        <f t="shared" si="24"/>
        <v>323715.426357523</v>
      </c>
      <c r="CG34" s="58">
        <v>677603</v>
      </c>
      <c r="CH34" s="58">
        <f t="shared" si="79"/>
        <v>155654.916074479</v>
      </c>
      <c r="CI34" s="58">
        <v>318387</v>
      </c>
    </row>
    <row r="35" spans="1:87">
      <c r="A35" s="4">
        <v>2058</v>
      </c>
      <c r="B35" s="4">
        <v>33</v>
      </c>
      <c r="C35" s="4">
        <v>76</v>
      </c>
      <c r="D35" s="4">
        <v>76</v>
      </c>
      <c r="E35" s="4">
        <v>35</v>
      </c>
      <c r="I35" s="20"/>
      <c r="J35" s="21"/>
      <c r="K35" s="19">
        <v>74640</v>
      </c>
      <c r="L35" s="19">
        <v>127970.563874268</v>
      </c>
      <c r="M35" s="19">
        <v>0</v>
      </c>
      <c r="N35" s="19">
        <f t="shared" si="2"/>
        <v>127970.563874268</v>
      </c>
      <c r="O35" s="19"/>
      <c r="P35" s="19"/>
      <c r="Q35" s="19"/>
      <c r="R35" s="19"/>
      <c r="S35" s="19"/>
      <c r="T35" s="19"/>
      <c r="U35" s="19"/>
      <c r="V35" s="19"/>
      <c r="W35" s="24">
        <v>1.67268663731299</v>
      </c>
      <c r="X35" s="19">
        <f t="shared" si="3"/>
        <v>127970.563874268</v>
      </c>
      <c r="Y35" s="28"/>
      <c r="Z35" s="28"/>
      <c r="AA35" s="28"/>
      <c r="AB35" s="28"/>
      <c r="AC35" s="28"/>
      <c r="AD35" s="28">
        <f t="shared" si="4"/>
        <v>0</v>
      </c>
      <c r="AE35" s="31">
        <f t="shared" si="5"/>
        <v>-127970.563874268</v>
      </c>
      <c r="AF35" s="32">
        <f t="shared" si="6"/>
        <v>-1</v>
      </c>
      <c r="AG35" s="36"/>
      <c r="AH35" s="36"/>
      <c r="AI35" s="36">
        <f t="shared" ref="AI35:AN35" si="107">AI34</f>
        <v>0.3</v>
      </c>
      <c r="AJ35" s="36"/>
      <c r="AK35" s="36">
        <f t="shared" si="107"/>
        <v>0.143</v>
      </c>
      <c r="AL35" s="36">
        <f t="shared" si="107"/>
        <v>0.117</v>
      </c>
      <c r="AM35" s="36">
        <f t="shared" si="107"/>
        <v>0.14</v>
      </c>
      <c r="AN35" s="36">
        <f t="shared" si="107"/>
        <v>0.205</v>
      </c>
      <c r="AO35" s="36">
        <f t="shared" si="69"/>
        <v>0.095</v>
      </c>
      <c r="AP35" s="39">
        <f t="shared" ref="AP35:AX35" si="108">$AE35*AG35*$AF35</f>
        <v>0</v>
      </c>
      <c r="AQ35" s="39">
        <f t="shared" si="108"/>
        <v>0</v>
      </c>
      <c r="AR35" s="39">
        <f t="shared" si="108"/>
        <v>38391.1691622804</v>
      </c>
      <c r="AS35" s="39">
        <f t="shared" si="108"/>
        <v>0</v>
      </c>
      <c r="AT35" s="39">
        <f t="shared" si="108"/>
        <v>18299.7906340203</v>
      </c>
      <c r="AU35" s="39">
        <f t="shared" si="108"/>
        <v>14972.5559732894</v>
      </c>
      <c r="AV35" s="39">
        <f t="shared" si="108"/>
        <v>17915.8789423975</v>
      </c>
      <c r="AW35" s="39">
        <f t="shared" si="108"/>
        <v>26233.9655942249</v>
      </c>
      <c r="AX35" s="39">
        <f t="shared" si="108"/>
        <v>12157.2035680555</v>
      </c>
      <c r="AY35" s="43">
        <f t="shared" ref="AY35:BA35" si="109">AY34</f>
        <v>0.015</v>
      </c>
      <c r="AZ35" s="43">
        <f t="shared" si="109"/>
        <v>0.03</v>
      </c>
      <c r="BA35" s="43">
        <f t="shared" si="109"/>
        <v>0.03</v>
      </c>
      <c r="BB35" s="43">
        <v>0.0542047217527719</v>
      </c>
      <c r="BC35" s="43">
        <v>0.0541442219768919</v>
      </c>
      <c r="BD35" s="43">
        <v>0.0429192705642922</v>
      </c>
      <c r="BE35" s="43">
        <v>0.0327655672460134</v>
      </c>
      <c r="BF35" s="43">
        <v>0.0298601675533143</v>
      </c>
      <c r="BG35" s="43">
        <v>0.0282817970904297</v>
      </c>
      <c r="BH35" s="46"/>
      <c r="BI35" s="46"/>
      <c r="BJ35" s="46"/>
      <c r="BK35" s="46"/>
      <c r="BL35" s="46"/>
      <c r="BM35" s="46"/>
      <c r="BN35" s="46"/>
      <c r="BO35" s="53">
        <f t="shared" si="15"/>
        <v>5379.45507314629</v>
      </c>
      <c r="BP35" s="54">
        <f t="shared" si="16"/>
        <v>0.015</v>
      </c>
      <c r="BQ35" s="56">
        <f t="shared" si="17"/>
        <v>0</v>
      </c>
      <c r="BR35" s="56"/>
      <c r="BS35" s="56">
        <f t="shared" si="19"/>
        <v>460714.960748635</v>
      </c>
      <c r="BT35" s="58"/>
      <c r="BU35" s="58">
        <v>537718.61</v>
      </c>
      <c r="BV35" s="59">
        <v>0.0673561151478801</v>
      </c>
      <c r="BW35" s="60">
        <f t="shared" si="20"/>
        <v>4.77982855599205</v>
      </c>
      <c r="BX35" s="58">
        <f t="shared" si="33"/>
        <v>191410.457087693</v>
      </c>
      <c r="BY35" s="58">
        <v>423873.21</v>
      </c>
      <c r="BZ35" s="58">
        <f t="shared" si="29"/>
        <v>170050.878222429</v>
      </c>
      <c r="CA35" s="58">
        <f t="shared" si="9"/>
        <v>0</v>
      </c>
      <c r="CB35" s="59">
        <v>0.0466829399002411</v>
      </c>
      <c r="CC35" s="60">
        <f t="shared" si="22"/>
        <v>3.38516989098209</v>
      </c>
      <c r="CD35" s="58">
        <f t="shared" si="75"/>
        <v>208909.038541398</v>
      </c>
      <c r="CE35" s="58">
        <v>478140.27</v>
      </c>
      <c r="CF35" s="58">
        <f t="shared" si="24"/>
        <v>308533.408103193</v>
      </c>
      <c r="CG35" s="58">
        <v>700737</v>
      </c>
      <c r="CH35" s="58">
        <f t="shared" si="79"/>
        <v>148591.903618171</v>
      </c>
      <c r="CI35" s="58">
        <v>328807</v>
      </c>
    </row>
    <row r="36" spans="1:87">
      <c r="A36" s="4">
        <v>2059</v>
      </c>
      <c r="B36" s="4">
        <v>34</v>
      </c>
      <c r="C36" s="4">
        <v>77</v>
      </c>
      <c r="D36" s="4">
        <v>77</v>
      </c>
      <c r="E36" s="4">
        <v>36</v>
      </c>
      <c r="I36" s="20"/>
      <c r="J36" s="21"/>
      <c r="K36" s="19">
        <v>74640</v>
      </c>
      <c r="L36" s="19">
        <v>129177.67037499</v>
      </c>
      <c r="M36" s="19">
        <v>0</v>
      </c>
      <c r="N36" s="19">
        <f t="shared" si="2"/>
        <v>129177.67037499</v>
      </c>
      <c r="O36" s="19"/>
      <c r="P36" s="19"/>
      <c r="Q36" s="19"/>
      <c r="R36" s="19"/>
      <c r="S36" s="19"/>
      <c r="T36" s="19"/>
      <c r="U36" s="19"/>
      <c r="V36" s="19"/>
      <c r="W36" s="24">
        <v>1.68846456977218</v>
      </c>
      <c r="X36" s="19">
        <f t="shared" si="3"/>
        <v>129177.67037499</v>
      </c>
      <c r="Y36" s="28"/>
      <c r="Z36" s="28"/>
      <c r="AA36" s="28"/>
      <c r="AB36" s="28"/>
      <c r="AC36" s="28"/>
      <c r="AD36" s="28">
        <f t="shared" si="4"/>
        <v>0</v>
      </c>
      <c r="AE36" s="31">
        <f t="shared" si="5"/>
        <v>-129177.67037499</v>
      </c>
      <c r="AF36" s="32">
        <f t="shared" si="6"/>
        <v>-1</v>
      </c>
      <c r="AG36" s="36"/>
      <c r="AH36" s="36"/>
      <c r="AI36" s="36">
        <f t="shared" ref="AI36:AN36" si="110">AI35</f>
        <v>0.3</v>
      </c>
      <c r="AJ36" s="36"/>
      <c r="AK36" s="36">
        <f t="shared" si="110"/>
        <v>0.143</v>
      </c>
      <c r="AL36" s="36">
        <f t="shared" si="110"/>
        <v>0.117</v>
      </c>
      <c r="AM36" s="36">
        <f t="shared" si="110"/>
        <v>0.14</v>
      </c>
      <c r="AN36" s="36">
        <f t="shared" si="110"/>
        <v>0.205</v>
      </c>
      <c r="AO36" s="36">
        <f t="shared" si="69"/>
        <v>0.095</v>
      </c>
      <c r="AP36" s="39">
        <f t="shared" ref="AP36:AX36" si="111">$AE36*AG36*$AF36</f>
        <v>0</v>
      </c>
      <c r="AQ36" s="39">
        <f t="shared" si="111"/>
        <v>0</v>
      </c>
      <c r="AR36" s="39">
        <f t="shared" si="111"/>
        <v>38753.301112497</v>
      </c>
      <c r="AS36" s="39">
        <f t="shared" si="111"/>
        <v>0</v>
      </c>
      <c r="AT36" s="39">
        <f t="shared" si="111"/>
        <v>18472.4068636236</v>
      </c>
      <c r="AU36" s="39">
        <f t="shared" si="111"/>
        <v>15113.7874338738</v>
      </c>
      <c r="AV36" s="39">
        <f t="shared" si="111"/>
        <v>18084.8738524986</v>
      </c>
      <c r="AW36" s="39">
        <f t="shared" si="111"/>
        <v>26481.4224268729</v>
      </c>
      <c r="AX36" s="39">
        <f t="shared" si="111"/>
        <v>12271.8786856241</v>
      </c>
      <c r="AY36" s="43">
        <f t="shared" ref="AY36:BA36" si="112">AY35</f>
        <v>0.015</v>
      </c>
      <c r="AZ36" s="43">
        <f t="shared" si="112"/>
        <v>0.03</v>
      </c>
      <c r="BA36" s="43">
        <f t="shared" si="112"/>
        <v>0.03</v>
      </c>
      <c r="BB36" s="43">
        <v>0.0545300910612652</v>
      </c>
      <c r="BC36" s="43">
        <v>0.0543545264464365</v>
      </c>
      <c r="BD36" s="43">
        <v>0.0429462672823351</v>
      </c>
      <c r="BE36" s="43">
        <v>0.0328437061789983</v>
      </c>
      <c r="BF36" s="43">
        <v>0.0299780601487645</v>
      </c>
      <c r="BG36" s="43">
        <v>0.028420846915109</v>
      </c>
      <c r="BH36" s="47"/>
      <c r="BI36" s="47"/>
      <c r="BJ36" s="47"/>
      <c r="BK36" s="47"/>
      <c r="BL36" s="47"/>
      <c r="BM36" s="47"/>
      <c r="BN36" s="47"/>
      <c r="BO36" s="53">
        <f t="shared" si="15"/>
        <v>5460.14689924349</v>
      </c>
      <c r="BP36" s="54">
        <f t="shared" si="16"/>
        <v>0.015</v>
      </c>
      <c r="BQ36" s="56">
        <f t="shared" si="17"/>
        <v>0</v>
      </c>
      <c r="BR36" s="56"/>
      <c r="BS36" s="56">
        <f t="shared" si="19"/>
        <v>435783.108458597</v>
      </c>
      <c r="BT36" s="58"/>
      <c r="BU36" s="58">
        <v>569687.46</v>
      </c>
      <c r="BV36" s="59">
        <v>0.0676509423238087</v>
      </c>
      <c r="BW36" s="60">
        <f t="shared" si="20"/>
        <v>5.10177923859658</v>
      </c>
      <c r="BX36" s="58">
        <f t="shared" si="33"/>
        <v>183219.692860366</v>
      </c>
      <c r="BY36" s="58">
        <v>442432.83</v>
      </c>
      <c r="BZ36" s="58">
        <f t="shared" si="29"/>
        <v>161721.132480978</v>
      </c>
      <c r="CA36" s="58">
        <f t="shared" si="9"/>
        <v>0</v>
      </c>
      <c r="CB36" s="59">
        <v>0.0479426336141788</v>
      </c>
      <c r="CC36" s="60">
        <f t="shared" si="22"/>
        <v>3.54319957355492</v>
      </c>
      <c r="CD36" s="58">
        <f t="shared" si="75"/>
        <v>198135.981278154</v>
      </c>
      <c r="CE36" s="58">
        <v>494875.18</v>
      </c>
      <c r="CF36" s="58">
        <f t="shared" si="24"/>
        <v>292579.081083498</v>
      </c>
      <c r="CG36" s="58">
        <v>724646</v>
      </c>
      <c r="CH36" s="58">
        <f t="shared" si="79"/>
        <v>141179.437109314</v>
      </c>
      <c r="CI36" s="58">
        <v>339560</v>
      </c>
    </row>
    <row r="37" spans="1:87">
      <c r="A37" s="4">
        <v>2060</v>
      </c>
      <c r="B37" s="4">
        <v>35</v>
      </c>
      <c r="C37" s="4">
        <v>78</v>
      </c>
      <c r="D37" s="4">
        <v>78</v>
      </c>
      <c r="E37" s="4">
        <v>37</v>
      </c>
      <c r="I37" s="20"/>
      <c r="J37" s="21"/>
      <c r="K37" s="19">
        <v>74640</v>
      </c>
      <c r="L37" s="19">
        <v>130359.608352826</v>
      </c>
      <c r="M37" s="19">
        <v>0</v>
      </c>
      <c r="N37" s="19">
        <f t="shared" si="2"/>
        <v>130359.608352826</v>
      </c>
      <c r="O37" s="19"/>
      <c r="P37" s="19"/>
      <c r="Q37" s="19"/>
      <c r="R37" s="19"/>
      <c r="S37" s="19"/>
      <c r="T37" s="19"/>
      <c r="U37" s="19"/>
      <c r="V37" s="19"/>
      <c r="W37" s="24">
        <v>1.70391352773412</v>
      </c>
      <c r="X37" s="19">
        <f t="shared" si="3"/>
        <v>130359.608352826</v>
      </c>
      <c r="Y37" s="28"/>
      <c r="Z37" s="28"/>
      <c r="AA37" s="28"/>
      <c r="AB37" s="28"/>
      <c r="AC37" s="28"/>
      <c r="AD37" s="28">
        <f t="shared" si="4"/>
        <v>0</v>
      </c>
      <c r="AE37" s="31">
        <f t="shared" si="5"/>
        <v>-130359.608352826</v>
      </c>
      <c r="AF37" s="32">
        <f t="shared" si="6"/>
        <v>-1</v>
      </c>
      <c r="AG37" s="36"/>
      <c r="AH37" s="36"/>
      <c r="AI37" s="36">
        <f t="shared" ref="AI37:AN37" si="113">AI36</f>
        <v>0.3</v>
      </c>
      <c r="AJ37" s="36"/>
      <c r="AK37" s="36">
        <f t="shared" si="113"/>
        <v>0.143</v>
      </c>
      <c r="AL37" s="36">
        <f t="shared" si="113"/>
        <v>0.117</v>
      </c>
      <c r="AM37" s="36">
        <f t="shared" si="113"/>
        <v>0.14</v>
      </c>
      <c r="AN37" s="36">
        <f t="shared" si="113"/>
        <v>0.205</v>
      </c>
      <c r="AO37" s="36">
        <f t="shared" si="69"/>
        <v>0.095</v>
      </c>
      <c r="AP37" s="39">
        <f t="shared" ref="AP37:AX37" si="114">$AE37*AG37*$AF37</f>
        <v>0</v>
      </c>
      <c r="AQ37" s="39">
        <f t="shared" si="114"/>
        <v>0</v>
      </c>
      <c r="AR37" s="39">
        <f t="shared" si="114"/>
        <v>39107.8825058478</v>
      </c>
      <c r="AS37" s="39">
        <f t="shared" si="114"/>
        <v>0</v>
      </c>
      <c r="AT37" s="39">
        <f t="shared" si="114"/>
        <v>18641.4239944541</v>
      </c>
      <c r="AU37" s="39">
        <f t="shared" si="114"/>
        <v>15252.0741772806</v>
      </c>
      <c r="AV37" s="39">
        <f t="shared" si="114"/>
        <v>18250.3451693956</v>
      </c>
      <c r="AW37" s="39">
        <f t="shared" si="114"/>
        <v>26723.7197123293</v>
      </c>
      <c r="AX37" s="39">
        <f t="shared" si="114"/>
        <v>12384.1627935185</v>
      </c>
      <c r="AY37" s="43">
        <f t="shared" ref="AY37:BA37" si="115">AY36</f>
        <v>0.015</v>
      </c>
      <c r="AZ37" s="43">
        <f t="shared" si="115"/>
        <v>0.03</v>
      </c>
      <c r="BA37" s="43">
        <f t="shared" si="115"/>
        <v>0.03</v>
      </c>
      <c r="BB37" s="43">
        <v>0.0547610628496396</v>
      </c>
      <c r="BC37" s="43">
        <v>0.0545593949480809</v>
      </c>
      <c r="BD37" s="43">
        <v>0.0429811105795104</v>
      </c>
      <c r="BE37" s="43">
        <v>0.032916559369774</v>
      </c>
      <c r="BF37" s="43">
        <v>0.0300888316430659</v>
      </c>
      <c r="BG37" s="43">
        <v>0.0285502787104488</v>
      </c>
      <c r="BH37" s="47"/>
      <c r="BI37" s="47"/>
      <c r="BJ37" s="47"/>
      <c r="BK37" s="47"/>
      <c r="BL37" s="47"/>
      <c r="BM37" s="47"/>
      <c r="BN37" s="47"/>
      <c r="BO37" s="53">
        <f t="shared" si="15"/>
        <v>5542.04910273214</v>
      </c>
      <c r="BP37" s="54">
        <f t="shared" si="16"/>
        <v>0.015</v>
      </c>
      <c r="BQ37" s="56">
        <f t="shared" si="17"/>
        <v>0</v>
      </c>
      <c r="BR37" s="56"/>
      <c r="BS37" s="56">
        <f t="shared" si="19"/>
        <v>409748.719206507</v>
      </c>
      <c r="BT37" s="58"/>
      <c r="BU37" s="58">
        <v>603745.86</v>
      </c>
      <c r="BV37" s="59">
        <v>0.0679824073889945</v>
      </c>
      <c r="BW37" s="60">
        <f t="shared" si="20"/>
        <v>5.44691941161568</v>
      </c>
      <c r="BX37" s="58">
        <f t="shared" si="33"/>
        <v>174417.475283309</v>
      </c>
      <c r="BY37" s="58">
        <v>461943.96</v>
      </c>
      <c r="BZ37" s="58">
        <f t="shared" si="29"/>
        <v>152928.291533612</v>
      </c>
      <c r="CA37" s="58">
        <f t="shared" si="9"/>
        <v>0</v>
      </c>
      <c r="CB37" s="59">
        <v>0.0491933235616588</v>
      </c>
      <c r="CC37" s="60">
        <f t="shared" si="22"/>
        <v>3.71306989253177</v>
      </c>
      <c r="CD37" s="58">
        <f t="shared" si="75"/>
        <v>186820.398936762</v>
      </c>
      <c r="CE37" s="58">
        <v>512195.82</v>
      </c>
      <c r="CF37" s="58">
        <f t="shared" si="24"/>
        <v>275829.712459958</v>
      </c>
      <c r="CG37" s="58">
        <v>749350</v>
      </c>
      <c r="CH37" s="58">
        <f t="shared" si="79"/>
        <v>133407.013968335</v>
      </c>
      <c r="CI37" s="58">
        <v>350652</v>
      </c>
    </row>
    <row r="38" spans="1:87">
      <c r="A38" s="4">
        <v>2061</v>
      </c>
      <c r="B38" s="4">
        <v>36</v>
      </c>
      <c r="C38" s="4">
        <v>79</v>
      </c>
      <c r="D38" s="4">
        <v>79</v>
      </c>
      <c r="E38" s="4">
        <v>38</v>
      </c>
      <c r="I38" s="20"/>
      <c r="J38" s="21"/>
      <c r="K38" s="19">
        <v>74640</v>
      </c>
      <c r="L38" s="19">
        <v>131516.5781472</v>
      </c>
      <c r="M38" s="19">
        <v>0</v>
      </c>
      <c r="N38" s="19">
        <f t="shared" si="2"/>
        <v>131516.5781472</v>
      </c>
      <c r="O38" s="19"/>
      <c r="P38" s="19"/>
      <c r="Q38" s="19"/>
      <c r="R38" s="19"/>
      <c r="S38" s="19"/>
      <c r="T38" s="19"/>
      <c r="U38" s="19"/>
      <c r="V38" s="19"/>
      <c r="W38" s="24">
        <v>1.71903612980943</v>
      </c>
      <c r="X38" s="19">
        <f t="shared" si="3"/>
        <v>131516.5781472</v>
      </c>
      <c r="Y38" s="28"/>
      <c r="Z38" s="28"/>
      <c r="AA38" s="28"/>
      <c r="AB38" s="28"/>
      <c r="AC38" s="28"/>
      <c r="AD38" s="28">
        <f t="shared" si="4"/>
        <v>0</v>
      </c>
      <c r="AE38" s="31">
        <f t="shared" si="5"/>
        <v>-131516.5781472</v>
      </c>
      <c r="AF38" s="32">
        <f t="shared" si="6"/>
        <v>-1</v>
      </c>
      <c r="AG38" s="36"/>
      <c r="AH38" s="36"/>
      <c r="AI38" s="36">
        <f t="shared" ref="AI38:AN38" si="116">AI37</f>
        <v>0.3</v>
      </c>
      <c r="AJ38" s="36"/>
      <c r="AK38" s="36">
        <f t="shared" si="116"/>
        <v>0.143</v>
      </c>
      <c r="AL38" s="36">
        <f t="shared" si="116"/>
        <v>0.117</v>
      </c>
      <c r="AM38" s="36">
        <f t="shared" si="116"/>
        <v>0.14</v>
      </c>
      <c r="AN38" s="36">
        <f t="shared" si="116"/>
        <v>0.205</v>
      </c>
      <c r="AO38" s="36">
        <f t="shared" si="69"/>
        <v>0.095</v>
      </c>
      <c r="AP38" s="39">
        <f t="shared" ref="AP38:AX38" si="117">$AE38*AG38*$AF38</f>
        <v>0</v>
      </c>
      <c r="AQ38" s="39">
        <f t="shared" si="117"/>
        <v>0</v>
      </c>
      <c r="AR38" s="39">
        <f t="shared" si="117"/>
        <v>39454.97344416</v>
      </c>
      <c r="AS38" s="39">
        <f t="shared" si="117"/>
        <v>0</v>
      </c>
      <c r="AT38" s="39">
        <f t="shared" si="117"/>
        <v>18806.8706750496</v>
      </c>
      <c r="AU38" s="39">
        <f t="shared" si="117"/>
        <v>15387.4396432224</v>
      </c>
      <c r="AV38" s="39">
        <f t="shared" si="117"/>
        <v>18412.320940608</v>
      </c>
      <c r="AW38" s="39">
        <f t="shared" si="117"/>
        <v>26960.898520176</v>
      </c>
      <c r="AX38" s="39">
        <f t="shared" si="117"/>
        <v>12494.074923984</v>
      </c>
      <c r="AY38" s="43">
        <f t="shared" ref="AY38:BA38" si="118">AY37</f>
        <v>0.015</v>
      </c>
      <c r="AZ38" s="43">
        <f t="shared" si="118"/>
        <v>0.03</v>
      </c>
      <c r="BA38" s="43">
        <f t="shared" si="118"/>
        <v>0.03</v>
      </c>
      <c r="BB38" s="43">
        <v>0.0550052078072045</v>
      </c>
      <c r="BC38" s="43">
        <v>0.0547492483704921</v>
      </c>
      <c r="BD38" s="43">
        <v>0.0430231166947095</v>
      </c>
      <c r="BE38" s="43">
        <v>0.0329846448519717</v>
      </c>
      <c r="BF38" s="43">
        <v>0.0301928428373861</v>
      </c>
      <c r="BG38" s="43">
        <v>0.0286708407535086</v>
      </c>
      <c r="BH38" s="47"/>
      <c r="BI38" s="47"/>
      <c r="BJ38" s="47"/>
      <c r="BK38" s="47"/>
      <c r="BL38" s="47"/>
      <c r="BM38" s="47"/>
      <c r="BN38" s="47"/>
      <c r="BO38" s="53">
        <f t="shared" si="15"/>
        <v>5625.17983927312</v>
      </c>
      <c r="BP38" s="54">
        <f t="shared" si="16"/>
        <v>0.015</v>
      </c>
      <c r="BQ38" s="56">
        <f t="shared" si="17"/>
        <v>0</v>
      </c>
      <c r="BR38" s="56"/>
      <c r="BS38" s="56">
        <f t="shared" si="19"/>
        <v>382586.207338543</v>
      </c>
      <c r="BT38" s="58"/>
      <c r="BU38" s="58">
        <v>639716.94</v>
      </c>
      <c r="BV38" s="59">
        <v>0.0615171965497356</v>
      </c>
      <c r="BW38" s="60">
        <f t="shared" si="20"/>
        <v>5.81721410607116</v>
      </c>
      <c r="BX38" s="58">
        <f t="shared" si="33"/>
        <v>164881.85908479</v>
      </c>
      <c r="BY38" s="58">
        <v>482460.65</v>
      </c>
      <c r="BZ38" s="58">
        <f t="shared" si="29"/>
        <v>143649.564775327</v>
      </c>
      <c r="CA38" s="58">
        <f t="shared" si="9"/>
        <v>0</v>
      </c>
      <c r="CB38" s="59">
        <v>0.0504157799402412</v>
      </c>
      <c r="CC38" s="60">
        <f t="shared" si="22"/>
        <v>3.89572814116214</v>
      </c>
      <c r="CD38" s="58">
        <f t="shared" si="75"/>
        <v>174946.790609388</v>
      </c>
      <c r="CE38" s="58">
        <v>530122.67</v>
      </c>
      <c r="CF38" s="58">
        <f t="shared" si="24"/>
        <v>258262.152743099</v>
      </c>
      <c r="CG38" s="58">
        <v>774869</v>
      </c>
      <c r="CH38" s="58">
        <f t="shared" si="79"/>
        <v>125265.334695304</v>
      </c>
      <c r="CI38" s="58">
        <v>362092</v>
      </c>
    </row>
    <row r="39" spans="1:87">
      <c r="A39" s="4">
        <v>2062</v>
      </c>
      <c r="B39" s="4">
        <v>37</v>
      </c>
      <c r="C39" s="4">
        <v>80</v>
      </c>
      <c r="D39" s="4">
        <v>80</v>
      </c>
      <c r="E39" s="4">
        <v>39</v>
      </c>
      <c r="I39" s="20"/>
      <c r="J39" s="21"/>
      <c r="K39" s="19">
        <v>74640</v>
      </c>
      <c r="L39" s="19">
        <v>132648.799154837</v>
      </c>
      <c r="M39" s="19">
        <v>0</v>
      </c>
      <c r="N39" s="19">
        <f t="shared" si="2"/>
        <v>132648.799154837</v>
      </c>
      <c r="O39" s="19"/>
      <c r="P39" s="19"/>
      <c r="Q39" s="19"/>
      <c r="R39" s="19"/>
      <c r="S39" s="19"/>
      <c r="T39" s="19"/>
      <c r="U39" s="19"/>
      <c r="V39" s="19"/>
      <c r="W39" s="24">
        <v>1.73383524370425</v>
      </c>
      <c r="X39" s="19">
        <f t="shared" si="3"/>
        <v>132648.799154837</v>
      </c>
      <c r="Y39" s="28"/>
      <c r="Z39" s="28"/>
      <c r="AA39" s="28"/>
      <c r="AB39" s="28"/>
      <c r="AC39" s="28"/>
      <c r="AD39" s="28">
        <f t="shared" si="4"/>
        <v>0</v>
      </c>
      <c r="AE39" s="31">
        <f t="shared" si="5"/>
        <v>-132648.799154837</v>
      </c>
      <c r="AF39" s="32">
        <f t="shared" si="6"/>
        <v>-1</v>
      </c>
      <c r="AG39" s="36"/>
      <c r="AH39" s="36"/>
      <c r="AI39" s="36">
        <f t="shared" ref="AI39:AN39" si="119">AI38</f>
        <v>0.3</v>
      </c>
      <c r="AJ39" s="36"/>
      <c r="AK39" s="36">
        <f t="shared" si="119"/>
        <v>0.143</v>
      </c>
      <c r="AL39" s="36">
        <f t="shared" si="119"/>
        <v>0.117</v>
      </c>
      <c r="AM39" s="36">
        <f t="shared" si="119"/>
        <v>0.14</v>
      </c>
      <c r="AN39" s="36">
        <f t="shared" si="119"/>
        <v>0.205</v>
      </c>
      <c r="AO39" s="36">
        <f t="shared" si="69"/>
        <v>0.095</v>
      </c>
      <c r="AP39" s="39">
        <f t="shared" ref="AP39:AX39" si="120">$AE39*AG39*$AF39</f>
        <v>0</v>
      </c>
      <c r="AQ39" s="39">
        <f t="shared" si="120"/>
        <v>0</v>
      </c>
      <c r="AR39" s="39">
        <f t="shared" si="120"/>
        <v>39794.6397464511</v>
      </c>
      <c r="AS39" s="39">
        <f t="shared" si="120"/>
        <v>0</v>
      </c>
      <c r="AT39" s="39">
        <f t="shared" si="120"/>
        <v>18968.7782791417</v>
      </c>
      <c r="AU39" s="39">
        <f t="shared" si="120"/>
        <v>15519.9095011159</v>
      </c>
      <c r="AV39" s="39">
        <f t="shared" si="120"/>
        <v>18570.8318816772</v>
      </c>
      <c r="AW39" s="39">
        <f t="shared" si="120"/>
        <v>27193.0038267416</v>
      </c>
      <c r="AX39" s="39">
        <f t="shared" si="120"/>
        <v>12601.6359197095</v>
      </c>
      <c r="AY39" s="43">
        <f t="shared" ref="AY39:BA39" si="121">AY38</f>
        <v>0.015</v>
      </c>
      <c r="AZ39" s="43">
        <f t="shared" si="121"/>
        <v>0.03</v>
      </c>
      <c r="BA39" s="43">
        <f t="shared" si="121"/>
        <v>0.03</v>
      </c>
      <c r="BB39" s="43">
        <v>0.0552449477389199</v>
      </c>
      <c r="BC39" s="43">
        <v>0.0549440959731609</v>
      </c>
      <c r="BD39" s="43">
        <v>0.0430721210320937</v>
      </c>
      <c r="BE39" s="43">
        <v>0.0330484169878797</v>
      </c>
      <c r="BF39" s="43">
        <v>0.0302904495596132</v>
      </c>
      <c r="BG39" s="43">
        <v>0.0287831054751917</v>
      </c>
      <c r="BH39" s="47"/>
      <c r="BI39" s="47"/>
      <c r="BJ39" s="47"/>
      <c r="BK39" s="47"/>
      <c r="BL39" s="47"/>
      <c r="BM39" s="47"/>
      <c r="BN39" s="47"/>
      <c r="BO39" s="53">
        <f t="shared" si="15"/>
        <v>5709.55753686222</v>
      </c>
      <c r="BP39" s="54">
        <f t="shared" si="16"/>
        <v>0.015</v>
      </c>
      <c r="BQ39" s="56">
        <f t="shared" si="17"/>
        <v>0</v>
      </c>
      <c r="BR39" s="56"/>
      <c r="BS39" s="56">
        <f t="shared" si="19"/>
        <v>354269.153812248</v>
      </c>
      <c r="BT39" s="58"/>
      <c r="BU39" s="58">
        <v>678374.88</v>
      </c>
      <c r="BV39" s="59">
        <v>0.061672735779446</v>
      </c>
      <c r="BW39" s="60">
        <f t="shared" si="20"/>
        <v>6.17507280960623</v>
      </c>
      <c r="BX39" s="58">
        <f t="shared" si="33"/>
        <v>154730.572996804</v>
      </c>
      <c r="BY39" s="58">
        <v>504047.76</v>
      </c>
      <c r="BZ39" s="58">
        <f t="shared" si="29"/>
        <v>133862.659536147</v>
      </c>
      <c r="CA39" s="58">
        <f t="shared" si="9"/>
        <v>0</v>
      </c>
      <c r="CB39" s="59">
        <v>0.051615304493734</v>
      </c>
      <c r="CC39" s="60">
        <f t="shared" si="22"/>
        <v>4.09213431383398</v>
      </c>
      <c r="CD39" s="58">
        <f t="shared" si="75"/>
        <v>162499.095260498</v>
      </c>
      <c r="CE39" s="58">
        <v>548676.96</v>
      </c>
      <c r="CF39" s="58">
        <f t="shared" si="24"/>
        <v>239853.213107265</v>
      </c>
      <c r="CG39" s="58">
        <v>801224</v>
      </c>
      <c r="CH39" s="58">
        <f t="shared" si="79"/>
        <v>116744.512182314</v>
      </c>
      <c r="CI39" s="58">
        <v>373888</v>
      </c>
    </row>
    <row r="40" spans="1:87">
      <c r="A40" s="4">
        <v>2063</v>
      </c>
      <c r="B40" s="4">
        <v>38</v>
      </c>
      <c r="C40" s="4">
        <v>81</v>
      </c>
      <c r="D40" s="4">
        <v>81</v>
      </c>
      <c r="E40" s="4">
        <v>40</v>
      </c>
      <c r="I40" s="20"/>
      <c r="J40" s="21"/>
      <c r="K40" s="19">
        <v>74640</v>
      </c>
      <c r="L40" s="19">
        <v>133756.508360643</v>
      </c>
      <c r="M40" s="19">
        <v>0</v>
      </c>
      <c r="N40" s="19">
        <f t="shared" si="2"/>
        <v>133756.508360643</v>
      </c>
      <c r="O40" s="19"/>
      <c r="P40" s="19"/>
      <c r="Q40" s="19"/>
      <c r="R40" s="19"/>
      <c r="S40" s="19"/>
      <c r="T40" s="19"/>
      <c r="U40" s="19"/>
      <c r="V40" s="19"/>
      <c r="W40" s="24">
        <v>1.74831396701753</v>
      </c>
      <c r="X40" s="19">
        <f t="shared" si="3"/>
        <v>133756.508360643</v>
      </c>
      <c r="Y40" s="28"/>
      <c r="Z40" s="28"/>
      <c r="AA40" s="28"/>
      <c r="AB40" s="28"/>
      <c r="AC40" s="28"/>
      <c r="AD40" s="28">
        <f t="shared" si="4"/>
        <v>0</v>
      </c>
      <c r="AE40" s="31">
        <f t="shared" si="5"/>
        <v>-133756.508360643</v>
      </c>
      <c r="AF40" s="32">
        <f t="shared" si="6"/>
        <v>-1</v>
      </c>
      <c r="AG40" s="36"/>
      <c r="AH40" s="36"/>
      <c r="AI40" s="36">
        <f t="shared" ref="AI40:AN40" si="122">AI39</f>
        <v>0.3</v>
      </c>
      <c r="AJ40" s="36"/>
      <c r="AK40" s="36">
        <f t="shared" si="122"/>
        <v>0.143</v>
      </c>
      <c r="AL40" s="36">
        <f t="shared" si="122"/>
        <v>0.117</v>
      </c>
      <c r="AM40" s="36">
        <f t="shared" si="122"/>
        <v>0.14</v>
      </c>
      <c r="AN40" s="36">
        <f t="shared" si="122"/>
        <v>0.205</v>
      </c>
      <c r="AO40" s="36">
        <f t="shared" si="69"/>
        <v>0.095</v>
      </c>
      <c r="AP40" s="39">
        <f t="shared" ref="AP40:AX40" si="123">$AE40*AG40*$AF40</f>
        <v>0</v>
      </c>
      <c r="AQ40" s="39">
        <f t="shared" si="123"/>
        <v>0</v>
      </c>
      <c r="AR40" s="39">
        <f t="shared" si="123"/>
        <v>40126.9525081929</v>
      </c>
      <c r="AS40" s="39">
        <f t="shared" si="123"/>
        <v>0</v>
      </c>
      <c r="AT40" s="39">
        <f t="shared" si="123"/>
        <v>19127.1806955719</v>
      </c>
      <c r="AU40" s="39">
        <f t="shared" si="123"/>
        <v>15649.5114781952</v>
      </c>
      <c r="AV40" s="39">
        <f t="shared" si="123"/>
        <v>18725.91117049</v>
      </c>
      <c r="AW40" s="39">
        <f t="shared" si="123"/>
        <v>27420.0842139318</v>
      </c>
      <c r="AX40" s="39">
        <f t="shared" si="123"/>
        <v>12706.8682942611</v>
      </c>
      <c r="AY40" s="43">
        <f t="shared" ref="AY40:BA40" si="124">AY39</f>
        <v>0.015</v>
      </c>
      <c r="AZ40" s="43">
        <f t="shared" si="124"/>
        <v>0.03</v>
      </c>
      <c r="BA40" s="43">
        <f t="shared" si="124"/>
        <v>0.03</v>
      </c>
      <c r="BB40" s="43">
        <v>0.0554976628535691</v>
      </c>
      <c r="BC40" s="43">
        <v>0.0551324265072084</v>
      </c>
      <c r="BD40" s="43">
        <v>0.0431272162825109</v>
      </c>
      <c r="BE40" s="43">
        <v>0.0331082739813822</v>
      </c>
      <c r="BF40" s="43">
        <v>0.0303818441598691</v>
      </c>
      <c r="BG40" s="43">
        <v>0.0288875081182274</v>
      </c>
      <c r="BH40" s="47"/>
      <c r="BI40" s="47"/>
      <c r="BJ40" s="47"/>
      <c r="BK40" s="47"/>
      <c r="BL40" s="47"/>
      <c r="BM40" s="47"/>
      <c r="BN40" s="47"/>
      <c r="BO40" s="53">
        <f t="shared" si="15"/>
        <v>5795.20089991515</v>
      </c>
      <c r="BP40" s="54">
        <f t="shared" si="16"/>
        <v>0.015</v>
      </c>
      <c r="BQ40" s="56">
        <f t="shared" si="17"/>
        <v>0</v>
      </c>
      <c r="BR40" s="56"/>
      <c r="BS40" s="56">
        <f t="shared" si="19"/>
        <v>324770.275918422</v>
      </c>
      <c r="BT40" s="58"/>
      <c r="BU40" s="58">
        <v>719506.7</v>
      </c>
      <c r="BV40" s="59">
        <v>0.0622919478364776</v>
      </c>
      <c r="BW40" s="60">
        <f t="shared" si="20"/>
        <v>6.55590644341192</v>
      </c>
      <c r="BX40" s="58">
        <f t="shared" si="33"/>
        <v>143825.415975699</v>
      </c>
      <c r="BY40" s="58">
        <v>526761.18</v>
      </c>
      <c r="BZ40" s="58">
        <f t="shared" si="29"/>
        <v>123540.073588506</v>
      </c>
      <c r="CA40" s="58">
        <f t="shared" si="9"/>
        <v>0</v>
      </c>
      <c r="CB40" s="59">
        <v>0.0527818182623259</v>
      </c>
      <c r="CC40" s="60">
        <f t="shared" si="22"/>
        <v>4.30335107247178</v>
      </c>
      <c r="CD40" s="58">
        <f t="shared" si="75"/>
        <v>149460.654319583</v>
      </c>
      <c r="CE40" s="58">
        <v>567880.66</v>
      </c>
      <c r="CF40" s="58">
        <f t="shared" si="24"/>
        <v>220578.074903715</v>
      </c>
      <c r="CG40" s="58">
        <v>828432</v>
      </c>
      <c r="CH40" s="58">
        <f t="shared" si="79"/>
        <v>107834.226082787</v>
      </c>
      <c r="CI40" s="58">
        <v>386047</v>
      </c>
    </row>
    <row r="41" spans="1:87">
      <c r="A41" s="4">
        <v>2064</v>
      </c>
      <c r="B41" s="4">
        <v>39</v>
      </c>
      <c r="C41" s="4">
        <v>82</v>
      </c>
      <c r="D41" s="4">
        <v>82</v>
      </c>
      <c r="E41" s="4">
        <v>41</v>
      </c>
      <c r="I41" s="20"/>
      <c r="J41" s="21"/>
      <c r="K41" s="19">
        <v>74640</v>
      </c>
      <c r="L41" s="19">
        <v>134839.958924039</v>
      </c>
      <c r="M41" s="19">
        <v>0</v>
      </c>
      <c r="N41" s="19">
        <f t="shared" si="2"/>
        <v>134839.958924039</v>
      </c>
      <c r="O41" s="19"/>
      <c r="P41" s="19"/>
      <c r="Q41" s="19"/>
      <c r="R41" s="19"/>
      <c r="S41" s="19"/>
      <c r="T41" s="19"/>
      <c r="U41" s="19"/>
      <c r="V41" s="19"/>
      <c r="W41" s="24">
        <v>1.76247560876322</v>
      </c>
      <c r="X41" s="19">
        <f t="shared" si="3"/>
        <v>134839.958924039</v>
      </c>
      <c r="Y41" s="28"/>
      <c r="Z41" s="28"/>
      <c r="AA41" s="28"/>
      <c r="AB41" s="28"/>
      <c r="AC41" s="28"/>
      <c r="AD41" s="28">
        <f t="shared" si="4"/>
        <v>0</v>
      </c>
      <c r="AE41" s="31">
        <f t="shared" si="5"/>
        <v>-134839.958924039</v>
      </c>
      <c r="AF41" s="32">
        <f t="shared" si="6"/>
        <v>-1</v>
      </c>
      <c r="AG41" s="36"/>
      <c r="AH41" s="36"/>
      <c r="AI41" s="36">
        <f t="shared" ref="AI41:AN41" si="125">AI40</f>
        <v>0.3</v>
      </c>
      <c r="AJ41" s="36"/>
      <c r="AK41" s="36">
        <f t="shared" si="125"/>
        <v>0.143</v>
      </c>
      <c r="AL41" s="36">
        <f t="shared" si="125"/>
        <v>0.117</v>
      </c>
      <c r="AM41" s="36">
        <f t="shared" si="125"/>
        <v>0.14</v>
      </c>
      <c r="AN41" s="36">
        <f t="shared" si="125"/>
        <v>0.205</v>
      </c>
      <c r="AO41" s="36">
        <f t="shared" si="69"/>
        <v>0.095</v>
      </c>
      <c r="AP41" s="39">
        <f t="shared" ref="AP41:AX41" si="126">$AE41*AG41*$AF41</f>
        <v>0</v>
      </c>
      <c r="AQ41" s="39">
        <f t="shared" si="126"/>
        <v>0</v>
      </c>
      <c r="AR41" s="39">
        <f t="shared" si="126"/>
        <v>40451.9876772117</v>
      </c>
      <c r="AS41" s="39">
        <f t="shared" si="126"/>
        <v>0</v>
      </c>
      <c r="AT41" s="39">
        <f t="shared" si="126"/>
        <v>19282.1141261376</v>
      </c>
      <c r="AU41" s="39">
        <f t="shared" si="126"/>
        <v>15776.2751941126</v>
      </c>
      <c r="AV41" s="39">
        <f t="shared" si="126"/>
        <v>18877.5942493655</v>
      </c>
      <c r="AW41" s="39">
        <f t="shared" si="126"/>
        <v>27642.191579428</v>
      </c>
      <c r="AX41" s="39">
        <f t="shared" si="126"/>
        <v>12809.7960977837</v>
      </c>
      <c r="AY41" s="43">
        <f t="shared" ref="AY41:BA41" si="127">AY40</f>
        <v>0.015</v>
      </c>
      <c r="AZ41" s="43">
        <f t="shared" si="127"/>
        <v>0.03</v>
      </c>
      <c r="BA41" s="43">
        <f t="shared" si="127"/>
        <v>0.03</v>
      </c>
      <c r="BB41" s="43">
        <v>0.0561131350590198</v>
      </c>
      <c r="BC41" s="43">
        <v>0.0553130837728812</v>
      </c>
      <c r="BD41" s="43">
        <v>0.0431880025158857</v>
      </c>
      <c r="BE41" s="43">
        <v>0.0331645649368759</v>
      </c>
      <c r="BF41" s="43">
        <v>0.0304672432645736</v>
      </c>
      <c r="BG41" s="43">
        <v>0.0289843777304082</v>
      </c>
      <c r="BH41" s="47"/>
      <c r="BI41" s="47"/>
      <c r="BJ41" s="47"/>
      <c r="BK41" s="47"/>
      <c r="BL41" s="47"/>
      <c r="BM41" s="47"/>
      <c r="BN41" s="47"/>
      <c r="BO41" s="53">
        <f t="shared" si="15"/>
        <v>5882.12891341388</v>
      </c>
      <c r="BP41" s="54">
        <f t="shared" si="16"/>
        <v>0.015</v>
      </c>
      <c r="BQ41" s="56">
        <f t="shared" si="17"/>
        <v>0</v>
      </c>
      <c r="BR41" s="56"/>
      <c r="BS41" s="56">
        <f t="shared" si="19"/>
        <v>294061.396518763</v>
      </c>
      <c r="BT41" s="58"/>
      <c r="BU41" s="58">
        <v>763214.52</v>
      </c>
      <c r="BV41" s="59">
        <v>0.0652426164520565</v>
      </c>
      <c r="BW41" s="60">
        <f t="shared" si="20"/>
        <v>6.96428662560576</v>
      </c>
      <c r="BX41" s="58">
        <f t="shared" si="33"/>
        <v>132108.924545565</v>
      </c>
      <c r="BY41" s="58">
        <v>550667.61</v>
      </c>
      <c r="BZ41" s="58">
        <f t="shared" si="29"/>
        <v>112654.530287069</v>
      </c>
      <c r="CA41" s="58">
        <f t="shared" si="9"/>
        <v>0</v>
      </c>
      <c r="CB41" s="59">
        <v>0.0539050844384894</v>
      </c>
      <c r="CC41" s="60">
        <f t="shared" si="22"/>
        <v>4.53048976669797</v>
      </c>
      <c r="CD41" s="58">
        <f t="shared" si="75"/>
        <v>135814.182155514</v>
      </c>
      <c r="CE41" s="58">
        <v>587756.48</v>
      </c>
      <c r="CF41" s="58">
        <f t="shared" si="24"/>
        <v>200412.190088417</v>
      </c>
      <c r="CG41" s="58">
        <v>856511</v>
      </c>
      <c r="CH41" s="58">
        <f t="shared" si="79"/>
        <v>98523.867059673</v>
      </c>
      <c r="CI41" s="58">
        <v>398575</v>
      </c>
    </row>
    <row r="42" spans="1:87">
      <c r="A42" s="4">
        <v>2065</v>
      </c>
      <c r="B42" s="4">
        <v>40</v>
      </c>
      <c r="C42" s="4">
        <v>83</v>
      </c>
      <c r="D42" s="4">
        <v>83</v>
      </c>
      <c r="E42" s="4">
        <v>42</v>
      </c>
      <c r="I42" s="20"/>
      <c r="J42" s="21"/>
      <c r="K42" s="19">
        <v>74640</v>
      </c>
      <c r="L42" s="19">
        <v>135899.418821112</v>
      </c>
      <c r="M42" s="19">
        <v>0</v>
      </c>
      <c r="N42" s="19">
        <f t="shared" si="2"/>
        <v>135899.418821112</v>
      </c>
      <c r="O42" s="19"/>
      <c r="P42" s="19"/>
      <c r="Q42" s="19"/>
      <c r="R42" s="19"/>
      <c r="S42" s="19"/>
      <c r="T42" s="19"/>
      <c r="U42" s="19"/>
      <c r="V42" s="19"/>
      <c r="W42" s="24">
        <v>1.77632367162199</v>
      </c>
      <c r="X42" s="19">
        <f t="shared" si="3"/>
        <v>135899.418821112</v>
      </c>
      <c r="Y42" s="28"/>
      <c r="Z42" s="28"/>
      <c r="AA42" s="28"/>
      <c r="AB42" s="28"/>
      <c r="AC42" s="28"/>
      <c r="AD42" s="28">
        <f t="shared" si="4"/>
        <v>0</v>
      </c>
      <c r="AE42" s="31">
        <f t="shared" si="5"/>
        <v>-135899.418821112</v>
      </c>
      <c r="AF42" s="32">
        <f t="shared" si="6"/>
        <v>-1</v>
      </c>
      <c r="AG42" s="36"/>
      <c r="AH42" s="36"/>
      <c r="AI42" s="36">
        <f t="shared" ref="AI42:AN42" si="128">AI41</f>
        <v>0.3</v>
      </c>
      <c r="AJ42" s="36"/>
      <c r="AK42" s="36">
        <f t="shared" si="128"/>
        <v>0.143</v>
      </c>
      <c r="AL42" s="36">
        <f t="shared" si="128"/>
        <v>0.117</v>
      </c>
      <c r="AM42" s="36">
        <f t="shared" si="128"/>
        <v>0.14</v>
      </c>
      <c r="AN42" s="36">
        <f t="shared" si="128"/>
        <v>0.205</v>
      </c>
      <c r="AO42" s="36">
        <f t="shared" si="69"/>
        <v>0.095</v>
      </c>
      <c r="AP42" s="39">
        <f t="shared" ref="AP42:AX42" si="129">$AE42*AG42*$AF42</f>
        <v>0</v>
      </c>
      <c r="AQ42" s="39">
        <f t="shared" si="129"/>
        <v>0</v>
      </c>
      <c r="AR42" s="39">
        <f t="shared" si="129"/>
        <v>40769.8256463336</v>
      </c>
      <c r="AS42" s="39">
        <f t="shared" si="129"/>
        <v>0</v>
      </c>
      <c r="AT42" s="39">
        <f t="shared" si="129"/>
        <v>19433.616891419</v>
      </c>
      <c r="AU42" s="39">
        <f t="shared" si="129"/>
        <v>15900.2320020701</v>
      </c>
      <c r="AV42" s="39">
        <f t="shared" si="129"/>
        <v>19025.9186349557</v>
      </c>
      <c r="AW42" s="39">
        <f t="shared" si="129"/>
        <v>27859.380858328</v>
      </c>
      <c r="AX42" s="39">
        <f t="shared" si="129"/>
        <v>12910.4447880056</v>
      </c>
      <c r="AY42" s="43">
        <f t="shared" ref="AY42:BA42" si="130">AY41</f>
        <v>0.015</v>
      </c>
      <c r="AZ42" s="43">
        <f t="shared" si="130"/>
        <v>0.03</v>
      </c>
      <c r="BA42" s="43">
        <f t="shared" si="130"/>
        <v>0.03</v>
      </c>
      <c r="BB42" s="43">
        <v>0.056368123025305</v>
      </c>
      <c r="BC42" s="43">
        <v>0.0554923946719936</v>
      </c>
      <c r="BD42" s="43">
        <v>0.0432544060678874</v>
      </c>
      <c r="BE42" s="43">
        <v>0.0332176003290399</v>
      </c>
      <c r="BF42" s="43">
        <v>0.0305468525360686</v>
      </c>
      <c r="BG42" s="43">
        <v>0.0290741608198775</v>
      </c>
      <c r="BH42" s="47"/>
      <c r="BI42" s="47"/>
      <c r="BJ42" s="47"/>
      <c r="BK42" s="47"/>
      <c r="BL42" s="47"/>
      <c r="BM42" s="47"/>
      <c r="BN42" s="47"/>
      <c r="BO42" s="53">
        <f t="shared" si="15"/>
        <v>5970.36084711508</v>
      </c>
      <c r="BP42" s="54">
        <f t="shared" si="16"/>
        <v>0.015</v>
      </c>
      <c r="BQ42" s="56">
        <f t="shared" si="17"/>
        <v>0</v>
      </c>
      <c r="BR42" s="56"/>
      <c r="BS42" s="56">
        <f t="shared" si="19"/>
        <v>262113.412767993</v>
      </c>
      <c r="BT42" s="58"/>
      <c r="BU42" s="58">
        <v>809928.9</v>
      </c>
      <c r="BV42" s="59">
        <v>0.0705789810224855</v>
      </c>
      <c r="BW42" s="60">
        <f t="shared" si="20"/>
        <v>7.41865490678234</v>
      </c>
      <c r="BX42" s="58">
        <f t="shared" si="33"/>
        <v>119571.870809643</v>
      </c>
      <c r="BY42" s="58">
        <v>575844.1</v>
      </c>
      <c r="BZ42" s="58">
        <f t="shared" si="29"/>
        <v>101177.898981669</v>
      </c>
      <c r="CA42" s="58">
        <f t="shared" si="9"/>
        <v>0</v>
      </c>
      <c r="CB42" s="59">
        <v>0.0549829100431383</v>
      </c>
      <c r="CC42" s="60">
        <f t="shared" si="22"/>
        <v>4.77470620011953</v>
      </c>
      <c r="CD42" s="58">
        <f t="shared" si="75"/>
        <v>121541.760635432</v>
      </c>
      <c r="CE42" s="58">
        <v>608327.96</v>
      </c>
      <c r="CF42" s="58">
        <f t="shared" si="24"/>
        <v>179330.936215593</v>
      </c>
      <c r="CG42" s="58">
        <v>885479</v>
      </c>
      <c r="CH42" s="58">
        <f t="shared" si="79"/>
        <v>88803.4128742016</v>
      </c>
      <c r="CI42" s="58">
        <v>411480</v>
      </c>
    </row>
    <row r="43" spans="1:87">
      <c r="A43" s="4">
        <v>2066</v>
      </c>
      <c r="B43" s="4">
        <v>41</v>
      </c>
      <c r="C43" s="4">
        <v>84</v>
      </c>
      <c r="D43" s="4">
        <v>84</v>
      </c>
      <c r="E43" s="4">
        <v>43</v>
      </c>
      <c r="I43" s="20"/>
      <c r="J43" s="21"/>
      <c r="K43" s="19">
        <v>74640</v>
      </c>
      <c r="L43" s="19">
        <v>136935.169542653</v>
      </c>
      <c r="M43" s="19">
        <v>0</v>
      </c>
      <c r="N43" s="19">
        <f t="shared" si="2"/>
        <v>136935.169542653</v>
      </c>
      <c r="O43" s="19"/>
      <c r="P43" s="19"/>
      <c r="Q43" s="19"/>
      <c r="R43" s="19"/>
      <c r="S43" s="19"/>
      <c r="T43" s="19"/>
      <c r="U43" s="19"/>
      <c r="V43" s="19"/>
      <c r="W43" s="24">
        <v>1.78986183492344</v>
      </c>
      <c r="X43" s="19">
        <f t="shared" si="3"/>
        <v>136935.169542653</v>
      </c>
      <c r="Y43" s="28"/>
      <c r="Z43" s="28"/>
      <c r="AA43" s="28"/>
      <c r="AB43" s="28"/>
      <c r="AC43" s="28"/>
      <c r="AD43" s="28">
        <f t="shared" si="4"/>
        <v>0</v>
      </c>
      <c r="AE43" s="31">
        <f t="shared" si="5"/>
        <v>-136935.169542653</v>
      </c>
      <c r="AF43" s="32">
        <f t="shared" si="6"/>
        <v>-1</v>
      </c>
      <c r="AG43" s="36"/>
      <c r="AH43" s="36"/>
      <c r="AI43" s="36">
        <f t="shared" ref="AI43:AN43" si="131">AI42</f>
        <v>0.3</v>
      </c>
      <c r="AJ43" s="36"/>
      <c r="AK43" s="36">
        <f t="shared" si="131"/>
        <v>0.143</v>
      </c>
      <c r="AL43" s="36">
        <f t="shared" si="131"/>
        <v>0.117</v>
      </c>
      <c r="AM43" s="36">
        <f t="shared" si="131"/>
        <v>0.14</v>
      </c>
      <c r="AN43" s="36">
        <f t="shared" si="131"/>
        <v>0.205</v>
      </c>
      <c r="AO43" s="36">
        <f t="shared" si="69"/>
        <v>0.095</v>
      </c>
      <c r="AP43" s="39">
        <f t="shared" ref="AP43:AX43" si="132">$AE43*AG43*$AF43</f>
        <v>0</v>
      </c>
      <c r="AQ43" s="39">
        <f t="shared" si="132"/>
        <v>0</v>
      </c>
      <c r="AR43" s="39">
        <f t="shared" si="132"/>
        <v>41080.5508627959</v>
      </c>
      <c r="AS43" s="39">
        <f t="shared" si="132"/>
        <v>0</v>
      </c>
      <c r="AT43" s="39">
        <f t="shared" si="132"/>
        <v>19581.7292445994</v>
      </c>
      <c r="AU43" s="39">
        <f t="shared" si="132"/>
        <v>16021.4148364904</v>
      </c>
      <c r="AV43" s="39">
        <f t="shared" si="132"/>
        <v>19170.9237359714</v>
      </c>
      <c r="AW43" s="39">
        <f t="shared" si="132"/>
        <v>28071.7097562439</v>
      </c>
      <c r="AX43" s="39">
        <f t="shared" si="132"/>
        <v>13008.841106552</v>
      </c>
      <c r="AY43" s="43">
        <f t="shared" ref="AY43:BA43" si="133">AY42</f>
        <v>0.015</v>
      </c>
      <c r="AZ43" s="43">
        <f t="shared" si="133"/>
        <v>0.03</v>
      </c>
      <c r="BA43" s="43">
        <f t="shared" si="133"/>
        <v>0.03</v>
      </c>
      <c r="BB43" s="43">
        <v>0.0566500489442516</v>
      </c>
      <c r="BC43" s="43">
        <v>0.0556612193675721</v>
      </c>
      <c r="BD43" s="43">
        <v>0.0434277176862246</v>
      </c>
      <c r="BE43" s="43">
        <v>0.0332676540276786</v>
      </c>
      <c r="BF43" s="43">
        <v>0.0306207635806524</v>
      </c>
      <c r="BG43" s="43">
        <v>0.0291571976829543</v>
      </c>
      <c r="BH43" s="47"/>
      <c r="BI43" s="47"/>
      <c r="BJ43" s="47"/>
      <c r="BK43" s="47"/>
      <c r="BL43" s="47"/>
      <c r="BM43" s="47"/>
      <c r="BN43" s="47"/>
      <c r="BO43" s="53">
        <f t="shared" si="15"/>
        <v>6059.91625982181</v>
      </c>
      <c r="BP43" s="54">
        <f t="shared" si="16"/>
        <v>0.015</v>
      </c>
      <c r="BQ43" s="56">
        <f t="shared" si="17"/>
        <v>0</v>
      </c>
      <c r="BR43" s="56"/>
      <c r="BS43" s="56">
        <f t="shared" si="19"/>
        <v>228896.264288237</v>
      </c>
      <c r="BT43" s="58"/>
      <c r="BU43" s="58">
        <v>859413.63</v>
      </c>
      <c r="BV43" s="59">
        <v>0.0717280674209186</v>
      </c>
      <c r="BW43" s="60">
        <f t="shared" si="20"/>
        <v>7.9422560106605</v>
      </c>
      <c r="BX43" s="58">
        <f t="shared" si="33"/>
        <v>106099.301465385</v>
      </c>
      <c r="BY43" s="58">
        <v>604664.94</v>
      </c>
      <c r="BZ43" s="58">
        <f t="shared" si="29"/>
        <v>89418.5429289893</v>
      </c>
      <c r="CA43" s="58">
        <f t="shared" si="9"/>
        <v>0</v>
      </c>
      <c r="CB43" s="59">
        <v>0.0565307268251327</v>
      </c>
      <c r="CC43" s="60">
        <f t="shared" si="22"/>
        <v>5.03723344160312</v>
      </c>
      <c r="CD43" s="58">
        <f t="shared" si="75"/>
        <v>106624.796803451</v>
      </c>
      <c r="CE43" s="58">
        <v>629619.43</v>
      </c>
      <c r="CF43" s="58">
        <f t="shared" si="24"/>
        <v>157308.827179068</v>
      </c>
      <c r="CG43" s="58">
        <v>915350</v>
      </c>
      <c r="CH43" s="58">
        <f t="shared" si="79"/>
        <v>78662.5326738546</v>
      </c>
      <c r="CI43" s="58">
        <v>424769</v>
      </c>
    </row>
    <row r="44" spans="1:87">
      <c r="A44" s="4">
        <v>2067</v>
      </c>
      <c r="B44" s="4">
        <v>42</v>
      </c>
      <c r="C44" s="4">
        <v>85</v>
      </c>
      <c r="D44" s="4">
        <v>85</v>
      </c>
      <c r="E44" s="4">
        <v>44</v>
      </c>
      <c r="I44" s="20"/>
      <c r="J44" s="21"/>
      <c r="K44" s="19">
        <v>74640</v>
      </c>
      <c r="L44" s="19">
        <v>137947.504847924</v>
      </c>
      <c r="M44" s="19">
        <v>0</v>
      </c>
      <c r="N44" s="19">
        <f t="shared" si="2"/>
        <v>137947.504847924</v>
      </c>
      <c r="O44" s="19"/>
      <c r="P44" s="19"/>
      <c r="Q44" s="19"/>
      <c r="R44" s="19"/>
      <c r="S44" s="19"/>
      <c r="T44" s="19"/>
      <c r="U44" s="19"/>
      <c r="V44" s="19"/>
      <c r="W44" s="24">
        <v>1.80309393835679</v>
      </c>
      <c r="X44" s="19">
        <f t="shared" si="3"/>
        <v>137947.504847924</v>
      </c>
      <c r="Y44" s="28"/>
      <c r="Z44" s="28"/>
      <c r="AA44" s="28"/>
      <c r="AB44" s="28"/>
      <c r="AC44" s="28"/>
      <c r="AD44" s="28">
        <f t="shared" si="4"/>
        <v>0</v>
      </c>
      <c r="AE44" s="31">
        <f t="shared" si="5"/>
        <v>-137947.504847924</v>
      </c>
      <c r="AF44" s="32">
        <f t="shared" si="6"/>
        <v>-1</v>
      </c>
      <c r="AG44" s="36"/>
      <c r="AH44" s="36"/>
      <c r="AI44" s="36">
        <f t="shared" ref="AI44:AN44" si="134">AI43</f>
        <v>0.3</v>
      </c>
      <c r="AJ44" s="36"/>
      <c r="AK44" s="36">
        <f t="shared" si="134"/>
        <v>0.143</v>
      </c>
      <c r="AL44" s="36">
        <f t="shared" si="134"/>
        <v>0.117</v>
      </c>
      <c r="AM44" s="36">
        <f t="shared" si="134"/>
        <v>0.14</v>
      </c>
      <c r="AN44" s="36">
        <f t="shared" si="134"/>
        <v>0.205</v>
      </c>
      <c r="AO44" s="36">
        <f t="shared" si="69"/>
        <v>0.095</v>
      </c>
      <c r="AP44" s="39">
        <f t="shared" ref="AP44:AX44" si="135">$AE44*AG44*$AF44</f>
        <v>0</v>
      </c>
      <c r="AQ44" s="39">
        <f t="shared" si="135"/>
        <v>0</v>
      </c>
      <c r="AR44" s="39">
        <f t="shared" si="135"/>
        <v>41384.2514543772</v>
      </c>
      <c r="AS44" s="39">
        <f t="shared" si="135"/>
        <v>0</v>
      </c>
      <c r="AT44" s="39">
        <f t="shared" si="135"/>
        <v>19726.4931932531</v>
      </c>
      <c r="AU44" s="39">
        <f t="shared" si="135"/>
        <v>16139.8580672071</v>
      </c>
      <c r="AV44" s="39">
        <f t="shared" si="135"/>
        <v>19312.6506787094</v>
      </c>
      <c r="AW44" s="39">
        <f t="shared" si="135"/>
        <v>28279.2384938244</v>
      </c>
      <c r="AX44" s="39">
        <f t="shared" si="135"/>
        <v>13105.0129605528</v>
      </c>
      <c r="AY44" s="43">
        <f t="shared" ref="AY44:BA44" si="136">AY43</f>
        <v>0.015</v>
      </c>
      <c r="AZ44" s="43">
        <f t="shared" si="136"/>
        <v>0.03</v>
      </c>
      <c r="BA44" s="43">
        <f t="shared" si="136"/>
        <v>0.03</v>
      </c>
      <c r="BB44" s="43">
        <v>0.0567956978115161</v>
      </c>
      <c r="BC44" s="43">
        <v>0.0558255851737248</v>
      </c>
      <c r="BD44" s="43">
        <v>0.0436071942954603</v>
      </c>
      <c r="BE44" s="43">
        <v>0.0333149716592787</v>
      </c>
      <c r="BF44" s="43">
        <v>0.0306891814254533</v>
      </c>
      <c r="BG44" s="43">
        <v>0.0292336868030916</v>
      </c>
      <c r="BH44" s="47"/>
      <c r="BI44" s="47"/>
      <c r="BJ44" s="47"/>
      <c r="BK44" s="47"/>
      <c r="BL44" s="47"/>
      <c r="BM44" s="47"/>
      <c r="BN44" s="47"/>
      <c r="BO44" s="53">
        <f t="shared" si="15"/>
        <v>6150.81500371914</v>
      </c>
      <c r="BP44" s="54">
        <f t="shared" si="16"/>
        <v>0.015</v>
      </c>
      <c r="BQ44" s="56">
        <f t="shared" si="17"/>
        <v>0</v>
      </c>
      <c r="BR44" s="56"/>
      <c r="BS44" s="56">
        <f t="shared" si="19"/>
        <v>194378.900762506</v>
      </c>
      <c r="BT44" s="58"/>
      <c r="BU44" s="58">
        <v>912111.46</v>
      </c>
      <c r="BV44" s="59">
        <v>0.0722820963909343</v>
      </c>
      <c r="BW44" s="60">
        <f t="shared" si="20"/>
        <v>8.51193868526735</v>
      </c>
      <c r="BX44" s="58">
        <f t="shared" si="33"/>
        <v>91669.0467864637</v>
      </c>
      <c r="BY44" s="58">
        <v>635288.98</v>
      </c>
      <c r="BZ44" s="58">
        <f t="shared" si="29"/>
        <v>76989.9788824916</v>
      </c>
      <c r="CA44" s="58">
        <f t="shared" si="9"/>
        <v>0</v>
      </c>
      <c r="CB44" s="59">
        <v>0.0560943939614214</v>
      </c>
      <c r="CC44" s="60">
        <f t="shared" si="22"/>
        <v>5.32199190924481</v>
      </c>
      <c r="CD44" s="58">
        <f t="shared" si="75"/>
        <v>91044.0140043952</v>
      </c>
      <c r="CE44" s="58">
        <v>651656.11</v>
      </c>
      <c r="CF44" s="58">
        <f t="shared" si="24"/>
        <v>134321.393357225</v>
      </c>
      <c r="CG44" s="58">
        <v>946142</v>
      </c>
      <c r="CH44" s="58">
        <f t="shared" si="79"/>
        <v>68090.5344152056</v>
      </c>
      <c r="CI44" s="58">
        <v>438447</v>
      </c>
    </row>
    <row r="45" spans="1:87">
      <c r="A45" s="4">
        <v>2068</v>
      </c>
      <c r="B45" s="4">
        <v>43</v>
      </c>
      <c r="C45" s="4">
        <v>86</v>
      </c>
      <c r="D45" s="4">
        <v>86</v>
      </c>
      <c r="E45" s="4">
        <v>45</v>
      </c>
      <c r="I45" s="20"/>
      <c r="J45" s="21"/>
      <c r="K45" s="19">
        <v>74640</v>
      </c>
      <c r="L45" s="19">
        <v>138936.729573764</v>
      </c>
      <c r="M45" s="19">
        <v>0</v>
      </c>
      <c r="N45" s="19">
        <f t="shared" si="2"/>
        <v>138936.729573764</v>
      </c>
      <c r="O45" s="19"/>
      <c r="P45" s="19"/>
      <c r="Q45" s="19"/>
      <c r="R45" s="19"/>
      <c r="S45" s="19"/>
      <c r="T45" s="19"/>
      <c r="U45" s="19"/>
      <c r="V45" s="19"/>
      <c r="W45" s="24">
        <v>1.81602396640478</v>
      </c>
      <c r="X45" s="19">
        <f t="shared" si="3"/>
        <v>138936.729573764</v>
      </c>
      <c r="Y45" s="28"/>
      <c r="Z45" s="28"/>
      <c r="AA45" s="28"/>
      <c r="AB45" s="28"/>
      <c r="AC45" s="28"/>
      <c r="AD45" s="28">
        <f t="shared" si="4"/>
        <v>0</v>
      </c>
      <c r="AE45" s="31">
        <f t="shared" si="5"/>
        <v>-138936.729573764</v>
      </c>
      <c r="AF45" s="32">
        <f t="shared" si="6"/>
        <v>-1</v>
      </c>
      <c r="AG45" s="36"/>
      <c r="AH45" s="36"/>
      <c r="AI45" s="36">
        <f t="shared" ref="AI45:AN45" si="137">AI44</f>
        <v>0.3</v>
      </c>
      <c r="AJ45" s="36"/>
      <c r="AK45" s="36">
        <f t="shared" si="137"/>
        <v>0.143</v>
      </c>
      <c r="AL45" s="36">
        <f t="shared" si="137"/>
        <v>0.117</v>
      </c>
      <c r="AM45" s="36">
        <f t="shared" si="137"/>
        <v>0.14</v>
      </c>
      <c r="AN45" s="36">
        <f t="shared" si="137"/>
        <v>0.205</v>
      </c>
      <c r="AO45" s="36">
        <f t="shared" si="69"/>
        <v>0.095</v>
      </c>
      <c r="AP45" s="39">
        <f t="shared" ref="AP45:AX45" si="138">$AE45*AG45*$AF45</f>
        <v>0</v>
      </c>
      <c r="AQ45" s="39">
        <f t="shared" si="138"/>
        <v>0</v>
      </c>
      <c r="AR45" s="39">
        <f t="shared" si="138"/>
        <v>41681.0188721292</v>
      </c>
      <c r="AS45" s="39">
        <f t="shared" si="138"/>
        <v>0</v>
      </c>
      <c r="AT45" s="39">
        <f t="shared" si="138"/>
        <v>19867.9523290483</v>
      </c>
      <c r="AU45" s="39">
        <f t="shared" si="138"/>
        <v>16255.5973601304</v>
      </c>
      <c r="AV45" s="39">
        <f t="shared" si="138"/>
        <v>19451.142140327</v>
      </c>
      <c r="AW45" s="39">
        <f t="shared" si="138"/>
        <v>28482.0295626216</v>
      </c>
      <c r="AX45" s="39">
        <f t="shared" si="138"/>
        <v>13198.9893095076</v>
      </c>
      <c r="AY45" s="43">
        <f t="shared" ref="AY45:BA45" si="139">AY44</f>
        <v>0.015</v>
      </c>
      <c r="AZ45" s="43">
        <f t="shared" si="139"/>
        <v>0.03</v>
      </c>
      <c r="BA45" s="43">
        <f t="shared" si="139"/>
        <v>0.03</v>
      </c>
      <c r="BB45" s="43">
        <v>0.0569330857656773</v>
      </c>
      <c r="BC45" s="43">
        <v>0.0559854847911396</v>
      </c>
      <c r="BD45" s="43">
        <v>0.0437925466023648</v>
      </c>
      <c r="BE45" s="43">
        <v>0.0333597716557699</v>
      </c>
      <c r="BF45" s="43">
        <v>0.0307521612654005</v>
      </c>
      <c r="BG45" s="43">
        <v>0.0293039433728923</v>
      </c>
      <c r="BH45" s="47"/>
      <c r="BI45" s="47"/>
      <c r="BJ45" s="47"/>
      <c r="BK45" s="47"/>
      <c r="BL45" s="47"/>
      <c r="BM45" s="47"/>
      <c r="BN45" s="47"/>
      <c r="BO45" s="53">
        <f t="shared" si="15"/>
        <v>6243.07722877492</v>
      </c>
      <c r="BP45" s="54">
        <f t="shared" si="16"/>
        <v>0.015</v>
      </c>
      <c r="BQ45" s="56">
        <f t="shared" si="17"/>
        <v>0</v>
      </c>
      <c r="BR45" s="56"/>
      <c r="BS45" s="56">
        <f t="shared" si="19"/>
        <v>158529.248913252</v>
      </c>
      <c r="BT45" s="58"/>
      <c r="BU45" s="58">
        <v>968224.79</v>
      </c>
      <c r="BV45" s="59">
        <v>0.0728561782736508</v>
      </c>
      <c r="BW45" s="60">
        <f t="shared" si="20"/>
        <v>9.12719945778957</v>
      </c>
      <c r="BX45" s="58">
        <f t="shared" si="33"/>
        <v>76218.3161286026</v>
      </c>
      <c r="BY45" s="58">
        <v>667847.32</v>
      </c>
      <c r="BZ45" s="58">
        <f t="shared" si="29"/>
        <v>63846.9975216105</v>
      </c>
      <c r="CA45" s="58">
        <f t="shared" si="9"/>
        <v>0</v>
      </c>
      <c r="CB45" s="59">
        <v>0.0555040933047102</v>
      </c>
      <c r="CC45" s="60">
        <f t="shared" si="22"/>
        <v>5.62052582006148</v>
      </c>
      <c r="CD45" s="58">
        <f t="shared" si="75"/>
        <v>74779.4132134493</v>
      </c>
      <c r="CE45" s="58">
        <v>674464.08</v>
      </c>
      <c r="CF45" s="58">
        <f t="shared" si="24"/>
        <v>110343.282027023</v>
      </c>
      <c r="CG45" s="58">
        <v>977867</v>
      </c>
      <c r="CH45" s="58">
        <f t="shared" si="79"/>
        <v>57077.2281674127</v>
      </c>
      <c r="CI45" s="58">
        <v>452521</v>
      </c>
    </row>
    <row r="46" spans="1:87">
      <c r="A46" s="4">
        <v>2069</v>
      </c>
      <c r="B46" s="4">
        <v>44</v>
      </c>
      <c r="C46" s="4">
        <v>87</v>
      </c>
      <c r="D46" s="4">
        <v>87</v>
      </c>
      <c r="E46" s="4">
        <v>46</v>
      </c>
      <c r="I46" s="20"/>
      <c r="J46" s="21"/>
      <c r="K46" s="19">
        <v>74640</v>
      </c>
      <c r="L46" s="19">
        <v>139903.158498463</v>
      </c>
      <c r="M46" s="19">
        <v>0</v>
      </c>
      <c r="N46" s="19">
        <f t="shared" si="2"/>
        <v>139903.158498463</v>
      </c>
      <c r="O46" s="19"/>
      <c r="P46" s="19"/>
      <c r="Q46" s="19"/>
      <c r="R46" s="19"/>
      <c r="S46" s="19"/>
      <c r="T46" s="19"/>
      <c r="U46" s="19"/>
      <c r="V46" s="19"/>
      <c r="W46" s="24">
        <v>1.82865603349362</v>
      </c>
      <c r="X46" s="19">
        <f t="shared" si="3"/>
        <v>139903.158498463</v>
      </c>
      <c r="Y46" s="28"/>
      <c r="Z46" s="28"/>
      <c r="AA46" s="28"/>
      <c r="AB46" s="28"/>
      <c r="AC46" s="28"/>
      <c r="AD46" s="28">
        <f t="shared" si="4"/>
        <v>0</v>
      </c>
      <c r="AE46" s="31">
        <f t="shared" si="5"/>
        <v>-139903.158498463</v>
      </c>
      <c r="AF46" s="32">
        <f t="shared" si="6"/>
        <v>-1</v>
      </c>
      <c r="AG46" s="36"/>
      <c r="AH46" s="36"/>
      <c r="AI46" s="36">
        <f t="shared" ref="AI46:AN46" si="140">AI45</f>
        <v>0.3</v>
      </c>
      <c r="AJ46" s="36"/>
      <c r="AK46" s="36">
        <f t="shared" si="140"/>
        <v>0.143</v>
      </c>
      <c r="AL46" s="36">
        <f t="shared" si="140"/>
        <v>0.117</v>
      </c>
      <c r="AM46" s="36">
        <f t="shared" si="140"/>
        <v>0.14</v>
      </c>
      <c r="AN46" s="36">
        <f t="shared" si="140"/>
        <v>0.205</v>
      </c>
      <c r="AO46" s="36">
        <f t="shared" si="69"/>
        <v>0.095</v>
      </c>
      <c r="AP46" s="39">
        <f t="shared" ref="AP46:AX46" si="141">$AE46*AG46*$AF46</f>
        <v>0</v>
      </c>
      <c r="AQ46" s="39">
        <f t="shared" si="141"/>
        <v>0</v>
      </c>
      <c r="AR46" s="39">
        <f t="shared" si="141"/>
        <v>41970.9475495389</v>
      </c>
      <c r="AS46" s="39">
        <f t="shared" si="141"/>
        <v>0</v>
      </c>
      <c r="AT46" s="39">
        <f t="shared" si="141"/>
        <v>20006.1516652802</v>
      </c>
      <c r="AU46" s="39">
        <f t="shared" si="141"/>
        <v>16368.6695443202</v>
      </c>
      <c r="AV46" s="39">
        <f t="shared" si="141"/>
        <v>19586.4421897848</v>
      </c>
      <c r="AW46" s="39">
        <f t="shared" si="141"/>
        <v>28680.1474921849</v>
      </c>
      <c r="AX46" s="39">
        <f t="shared" si="141"/>
        <v>13290.800057354</v>
      </c>
      <c r="AY46" s="43">
        <f t="shared" ref="AY46:BA46" si="142">AY45</f>
        <v>0.015</v>
      </c>
      <c r="AZ46" s="43">
        <f t="shared" si="142"/>
        <v>0.03</v>
      </c>
      <c r="BA46" s="43">
        <f t="shared" si="142"/>
        <v>0.03</v>
      </c>
      <c r="BB46" s="43">
        <v>0.0570680701743136</v>
      </c>
      <c r="BC46" s="43">
        <v>0.0561408074461007</v>
      </c>
      <c r="BD46" s="43">
        <v>0.0439834846317593</v>
      </c>
      <c r="BE46" s="43">
        <v>0.0334022492932526</v>
      </c>
      <c r="BF46" s="43">
        <v>0.0308099348238879</v>
      </c>
      <c r="BG46" s="43">
        <v>0.0293680502375524</v>
      </c>
      <c r="BH46" s="47"/>
      <c r="BI46" s="47"/>
      <c r="BJ46" s="47"/>
      <c r="BK46" s="47"/>
      <c r="BL46" s="47"/>
      <c r="BM46" s="47"/>
      <c r="BN46" s="47"/>
      <c r="BO46" s="53">
        <f t="shared" si="15"/>
        <v>6336.72338720654</v>
      </c>
      <c r="BP46" s="54">
        <f t="shared" si="16"/>
        <v>0.015</v>
      </c>
      <c r="BQ46" s="56">
        <f t="shared" si="17"/>
        <v>0</v>
      </c>
      <c r="BR46" s="56"/>
      <c r="BS46" s="56">
        <f t="shared" si="19"/>
        <v>121314.178831111</v>
      </c>
      <c r="BT46" s="58"/>
      <c r="BU46" s="58">
        <v>1027963.61</v>
      </c>
      <c r="BV46" s="59">
        <v>0.0730551902451368</v>
      </c>
      <c r="BW46" s="60">
        <f t="shared" si="20"/>
        <v>9.79217232862546</v>
      </c>
      <c r="BX46" s="58">
        <f t="shared" si="33"/>
        <v>59680.4173002331</v>
      </c>
      <c r="BY46" s="58">
        <v>702480.95</v>
      </c>
      <c r="BZ46" s="58">
        <f t="shared" si="29"/>
        <v>49940.4878077499</v>
      </c>
      <c r="CA46" s="58">
        <f t="shared" si="9"/>
        <v>0</v>
      </c>
      <c r="CB46" s="59">
        <v>0.0547568438026211</v>
      </c>
      <c r="CC46" s="60">
        <f t="shared" si="22"/>
        <v>5.93248800959971</v>
      </c>
      <c r="CD46" s="58">
        <f t="shared" si="75"/>
        <v>57810.2501756927</v>
      </c>
      <c r="CE46" s="58">
        <v>698070.32</v>
      </c>
      <c r="CF46" s="58">
        <f t="shared" si="24"/>
        <v>85350.4329371738</v>
      </c>
      <c r="CG46" s="58">
        <v>1010544</v>
      </c>
      <c r="CH46" s="58">
        <f t="shared" si="79"/>
        <v>45611.9317292652</v>
      </c>
      <c r="CI46" s="58">
        <v>466994</v>
      </c>
    </row>
    <row r="47" spans="1:87">
      <c r="A47" s="4">
        <v>2070</v>
      </c>
      <c r="B47" s="4">
        <v>45</v>
      </c>
      <c r="C47" s="4">
        <v>88</v>
      </c>
      <c r="D47" s="4">
        <v>88</v>
      </c>
      <c r="E47" s="4">
        <v>47</v>
      </c>
      <c r="I47" s="20"/>
      <c r="J47" s="21"/>
      <c r="K47" s="19">
        <v>74640</v>
      </c>
      <c r="L47" s="19">
        <v>140847.115259652</v>
      </c>
      <c r="M47" s="19">
        <v>0</v>
      </c>
      <c r="N47" s="19">
        <f t="shared" si="2"/>
        <v>140847.115259652</v>
      </c>
      <c r="O47" s="19"/>
      <c r="P47" s="19"/>
      <c r="Q47" s="19"/>
      <c r="R47" s="19"/>
      <c r="S47" s="19"/>
      <c r="T47" s="19"/>
      <c r="U47" s="19"/>
      <c r="V47" s="19"/>
      <c r="W47" s="24">
        <v>1.8409943698488</v>
      </c>
      <c r="X47" s="19">
        <f t="shared" si="3"/>
        <v>140847.115259652</v>
      </c>
      <c r="Y47" s="28"/>
      <c r="Z47" s="28"/>
      <c r="AA47" s="28"/>
      <c r="AB47" s="28"/>
      <c r="AC47" s="28"/>
      <c r="AD47" s="28">
        <f t="shared" si="4"/>
        <v>0</v>
      </c>
      <c r="AE47" s="31">
        <f t="shared" si="5"/>
        <v>-140847.115259652</v>
      </c>
      <c r="AF47" s="32">
        <f t="shared" si="6"/>
        <v>-1</v>
      </c>
      <c r="AG47" s="36"/>
      <c r="AH47" s="36"/>
      <c r="AI47" s="36">
        <f t="shared" ref="AI47:AN47" si="143">AI46</f>
        <v>0.3</v>
      </c>
      <c r="AJ47" s="36"/>
      <c r="AK47" s="36">
        <f t="shared" si="143"/>
        <v>0.143</v>
      </c>
      <c r="AL47" s="36">
        <f t="shared" si="143"/>
        <v>0.117</v>
      </c>
      <c r="AM47" s="36">
        <f t="shared" si="143"/>
        <v>0.14</v>
      </c>
      <c r="AN47" s="36">
        <f t="shared" si="143"/>
        <v>0.205</v>
      </c>
      <c r="AO47" s="36">
        <f t="shared" si="69"/>
        <v>0.095</v>
      </c>
      <c r="AP47" s="39">
        <f t="shared" ref="AP47:AX47" si="144">$AE47*AG47*$AF47</f>
        <v>0</v>
      </c>
      <c r="AQ47" s="39">
        <f t="shared" si="144"/>
        <v>0</v>
      </c>
      <c r="AR47" s="39">
        <f t="shared" si="144"/>
        <v>42254.1345778956</v>
      </c>
      <c r="AS47" s="39">
        <f t="shared" si="144"/>
        <v>0</v>
      </c>
      <c r="AT47" s="39">
        <f t="shared" si="144"/>
        <v>20141.1374821302</v>
      </c>
      <c r="AU47" s="39">
        <f t="shared" si="144"/>
        <v>16479.1124853793</v>
      </c>
      <c r="AV47" s="39">
        <f t="shared" si="144"/>
        <v>19718.5961363513</v>
      </c>
      <c r="AW47" s="39">
        <f t="shared" si="144"/>
        <v>28873.6586282287</v>
      </c>
      <c r="AX47" s="39">
        <f t="shared" si="144"/>
        <v>13380.4759496669</v>
      </c>
      <c r="AY47" s="43">
        <f t="shared" ref="AY47:BA47" si="145">AY46</f>
        <v>0.015</v>
      </c>
      <c r="AZ47" s="43">
        <f t="shared" si="145"/>
        <v>0.03</v>
      </c>
      <c r="BA47" s="43">
        <f t="shared" si="145"/>
        <v>0.03</v>
      </c>
      <c r="BB47" s="43">
        <v>0.0571986380018619</v>
      </c>
      <c r="BC47" s="43">
        <v>0.0562919199821865</v>
      </c>
      <c r="BD47" s="43">
        <v>0.0441796555349052</v>
      </c>
      <c r="BE47" s="43">
        <v>0.033442581077632</v>
      </c>
      <c r="BF47" s="43">
        <v>0.0308625929121042</v>
      </c>
      <c r="BG47" s="43">
        <v>0.0294261166755367</v>
      </c>
      <c r="BH47" s="47"/>
      <c r="BI47" s="47"/>
      <c r="BJ47" s="47"/>
      <c r="BK47" s="47"/>
      <c r="BL47" s="47"/>
      <c r="BM47" s="47"/>
      <c r="BN47" s="47"/>
      <c r="BO47" s="53">
        <f t="shared" si="15"/>
        <v>6431.77423801464</v>
      </c>
      <c r="BP47" s="54">
        <f t="shared" si="16"/>
        <v>0.015</v>
      </c>
      <c r="BQ47" s="56">
        <f t="shared" si="17"/>
        <v>0</v>
      </c>
      <c r="BR47" s="56"/>
      <c r="BS47" s="56">
        <f t="shared" si="19"/>
        <v>82699.4696181488</v>
      </c>
      <c r="BT47" s="58"/>
      <c r="BU47" s="58">
        <v>1091574.02</v>
      </c>
      <c r="BV47" s="59">
        <v>0.0736206638604775</v>
      </c>
      <c r="BW47" s="60">
        <f t="shared" si="20"/>
        <v>10.5075413410064</v>
      </c>
      <c r="BX47" s="58">
        <f t="shared" si="33"/>
        <v>41985.9712922634</v>
      </c>
      <c r="BY47" s="58">
        <v>739339.6</v>
      </c>
      <c r="BZ47" s="58">
        <f t="shared" si="29"/>
        <v>35217.0686568673</v>
      </c>
      <c r="CA47" s="58">
        <f t="shared" si="9"/>
        <v>0</v>
      </c>
      <c r="CB47" s="59">
        <v>0.053833363498434</v>
      </c>
      <c r="CC47" s="60">
        <f t="shared" si="22"/>
        <v>6.25733232890228</v>
      </c>
      <c r="CD47" s="58">
        <f t="shared" si="75"/>
        <v>40115.0126961134</v>
      </c>
      <c r="CE47" s="58">
        <v>722502.78</v>
      </c>
      <c r="CF47" s="58">
        <f t="shared" si="24"/>
        <v>59318.173856983</v>
      </c>
      <c r="CG47" s="58">
        <v>1044186</v>
      </c>
      <c r="CH47" s="58">
        <f t="shared" si="79"/>
        <v>33684.3170250807</v>
      </c>
      <c r="CI47" s="58">
        <v>481869</v>
      </c>
    </row>
    <row r="48" spans="1:87">
      <c r="A48" s="4">
        <v>2071</v>
      </c>
      <c r="B48" s="4">
        <v>46</v>
      </c>
      <c r="C48" s="4">
        <v>89</v>
      </c>
      <c r="D48" s="4">
        <v>89</v>
      </c>
      <c r="E48" s="4">
        <v>48</v>
      </c>
      <c r="I48" s="20"/>
      <c r="J48" s="21"/>
      <c r="K48" s="19">
        <v>74640</v>
      </c>
      <c r="L48" s="19">
        <v>141768.931325317</v>
      </c>
      <c r="M48" s="19">
        <v>0</v>
      </c>
      <c r="N48" s="19">
        <f t="shared" si="2"/>
        <v>141768.931325317</v>
      </c>
      <c r="O48" s="19"/>
      <c r="P48" s="19"/>
      <c r="Q48" s="19"/>
      <c r="R48" s="19"/>
      <c r="S48" s="19"/>
      <c r="T48" s="19"/>
      <c r="U48" s="19"/>
      <c r="V48" s="19"/>
      <c r="W48" s="24">
        <v>1.85304330804534</v>
      </c>
      <c r="X48" s="19">
        <f t="shared" si="3"/>
        <v>141768.931325317</v>
      </c>
      <c r="Y48" s="28"/>
      <c r="Z48" s="28"/>
      <c r="AA48" s="28"/>
      <c r="AB48" s="28"/>
      <c r="AC48" s="28"/>
      <c r="AD48" s="28">
        <f t="shared" si="4"/>
        <v>0</v>
      </c>
      <c r="AE48" s="31">
        <f t="shared" si="5"/>
        <v>-141768.931325317</v>
      </c>
      <c r="AF48" s="32">
        <f t="shared" si="6"/>
        <v>-1</v>
      </c>
      <c r="AG48" s="36"/>
      <c r="AH48" s="36"/>
      <c r="AI48" s="36">
        <f t="shared" ref="AI48:AN48" si="146">AI47</f>
        <v>0.3</v>
      </c>
      <c r="AJ48" s="36"/>
      <c r="AK48" s="36">
        <f t="shared" si="146"/>
        <v>0.143</v>
      </c>
      <c r="AL48" s="36">
        <f t="shared" si="146"/>
        <v>0.117</v>
      </c>
      <c r="AM48" s="36">
        <f t="shared" si="146"/>
        <v>0.14</v>
      </c>
      <c r="AN48" s="36">
        <f t="shared" si="146"/>
        <v>0.205</v>
      </c>
      <c r="AO48" s="36">
        <f t="shared" si="69"/>
        <v>0.095</v>
      </c>
      <c r="AP48" s="39">
        <f t="shared" ref="AP48:AX48" si="147">$AE48*AG48*$AF48</f>
        <v>0</v>
      </c>
      <c r="AQ48" s="39">
        <f t="shared" si="147"/>
        <v>0</v>
      </c>
      <c r="AR48" s="39">
        <f t="shared" si="147"/>
        <v>42530.6793975951</v>
      </c>
      <c r="AS48" s="39">
        <f t="shared" si="147"/>
        <v>0</v>
      </c>
      <c r="AT48" s="39">
        <f t="shared" si="147"/>
        <v>20272.9571795203</v>
      </c>
      <c r="AU48" s="39">
        <f t="shared" si="147"/>
        <v>16586.9649650621</v>
      </c>
      <c r="AV48" s="39">
        <f t="shared" si="147"/>
        <v>19847.6503855444</v>
      </c>
      <c r="AW48" s="39">
        <f t="shared" si="147"/>
        <v>29062.63092169</v>
      </c>
      <c r="AX48" s="39">
        <f t="shared" si="147"/>
        <v>13468.0484759051</v>
      </c>
      <c r="AY48" s="43">
        <f t="shared" ref="AY48:BA48" si="148">AY47</f>
        <v>0.015</v>
      </c>
      <c r="AZ48" s="43">
        <f t="shared" si="148"/>
        <v>0.03</v>
      </c>
      <c r="BA48" s="43">
        <f t="shared" si="148"/>
        <v>0.03</v>
      </c>
      <c r="BB48" s="43">
        <v>0.0573301585730885</v>
      </c>
      <c r="BC48" s="43">
        <v>0.0564390225455196</v>
      </c>
      <c r="BD48" s="43">
        <v>0.0443808655246007</v>
      </c>
      <c r="BE48" s="43">
        <v>0.0334809257791335</v>
      </c>
      <c r="BF48" s="43">
        <v>0.03091033878422</v>
      </c>
      <c r="BG48" s="43">
        <v>0.0294783677396391</v>
      </c>
      <c r="BH48" s="47"/>
      <c r="BI48" s="47"/>
      <c r="BJ48" s="47"/>
      <c r="BK48" s="47"/>
      <c r="BL48" s="47"/>
      <c r="BM48" s="47"/>
      <c r="BN48" s="47"/>
      <c r="BO48" s="53">
        <f t="shared" si="15"/>
        <v>6528.25085158486</v>
      </c>
      <c r="BP48" s="54">
        <f t="shared" si="16"/>
        <v>0.015</v>
      </c>
      <c r="BQ48" s="56">
        <f t="shared" si="17"/>
        <v>0</v>
      </c>
      <c r="BR48" s="56"/>
      <c r="BS48" s="56">
        <f t="shared" si="19"/>
        <v>42649.7743090982</v>
      </c>
      <c r="BT48" s="58"/>
      <c r="BU48" s="58">
        <v>1159314.31</v>
      </c>
      <c r="BV48" s="59">
        <v>0.0742747578132013</v>
      </c>
      <c r="BW48" s="60">
        <f t="shared" si="20"/>
        <v>11.2811135100727</v>
      </c>
      <c r="BX48" s="58">
        <f t="shared" si="33"/>
        <v>23060.4681981484</v>
      </c>
      <c r="BY48" s="58">
        <v>778589.1</v>
      </c>
      <c r="BZ48" s="58">
        <f t="shared" si="29"/>
        <v>19619.12450829</v>
      </c>
      <c r="CA48" s="58">
        <f t="shared" si="9"/>
        <v>0</v>
      </c>
      <c r="CB48" s="59">
        <v>0.0527263470262762</v>
      </c>
      <c r="CC48" s="60">
        <f t="shared" si="22"/>
        <v>6.59418557469458</v>
      </c>
      <c r="CD48" s="58">
        <f t="shared" si="75"/>
        <v>21671.3879048432</v>
      </c>
      <c r="CE48" s="58">
        <v>747790.38</v>
      </c>
      <c r="CF48" s="58">
        <f t="shared" si="24"/>
        <v>32222.5217779495</v>
      </c>
      <c r="CG48" s="58">
        <v>1078811</v>
      </c>
      <c r="CH48" s="58">
        <f t="shared" si="79"/>
        <v>21284.5334360583</v>
      </c>
      <c r="CI48" s="58">
        <v>497151</v>
      </c>
    </row>
    <row r="49" spans="1:87">
      <c r="A49" s="4">
        <v>2072</v>
      </c>
      <c r="B49" s="4">
        <v>47</v>
      </c>
      <c r="C49" s="4">
        <v>90</v>
      </c>
      <c r="D49" s="4">
        <v>90</v>
      </c>
      <c r="E49" s="4">
        <v>49</v>
      </c>
      <c r="I49" s="20"/>
      <c r="J49" s="21"/>
      <c r="K49" s="19">
        <v>74640</v>
      </c>
      <c r="L49" s="19">
        <v>142668.945016892</v>
      </c>
      <c r="M49" s="19">
        <v>0</v>
      </c>
      <c r="N49" s="19">
        <f t="shared" si="2"/>
        <v>142668.945016892</v>
      </c>
      <c r="O49" s="19"/>
      <c r="P49" s="19"/>
      <c r="Q49" s="19"/>
      <c r="R49" s="19"/>
      <c r="S49" s="19"/>
      <c r="T49" s="19"/>
      <c r="U49" s="19"/>
      <c r="V49" s="19"/>
      <c r="W49" s="24">
        <v>1.86480727023883</v>
      </c>
      <c r="X49" s="19">
        <f t="shared" si="3"/>
        <v>142668.945016892</v>
      </c>
      <c r="Y49" s="28"/>
      <c r="Z49" s="28"/>
      <c r="AA49" s="28"/>
      <c r="AB49" s="28"/>
      <c r="AC49" s="28"/>
      <c r="AD49" s="28">
        <f t="shared" si="4"/>
        <v>0</v>
      </c>
      <c r="AE49" s="31">
        <f t="shared" si="5"/>
        <v>-142668.945016892</v>
      </c>
      <c r="AF49" s="32">
        <f t="shared" si="6"/>
        <v>-1</v>
      </c>
      <c r="AG49" s="36"/>
      <c r="AH49" s="36"/>
      <c r="AI49" s="36">
        <f t="shared" ref="AI49:AN49" si="149">AI48</f>
        <v>0.3</v>
      </c>
      <c r="AJ49" s="36"/>
      <c r="AK49" s="36">
        <f t="shared" si="149"/>
        <v>0.143</v>
      </c>
      <c r="AL49" s="36">
        <f t="shared" si="149"/>
        <v>0.117</v>
      </c>
      <c r="AM49" s="36">
        <f t="shared" si="149"/>
        <v>0.14</v>
      </c>
      <c r="AN49" s="36">
        <f t="shared" si="149"/>
        <v>0.205</v>
      </c>
      <c r="AO49" s="36">
        <f t="shared" si="69"/>
        <v>0.095</v>
      </c>
      <c r="AP49" s="39">
        <f t="shared" ref="AP49:AX49" si="150">$AE49*AG49*$AF49</f>
        <v>0</v>
      </c>
      <c r="AQ49" s="39">
        <f t="shared" si="150"/>
        <v>0</v>
      </c>
      <c r="AR49" s="39">
        <f t="shared" si="150"/>
        <v>42800.6835050676</v>
      </c>
      <c r="AS49" s="39">
        <f t="shared" si="150"/>
        <v>0</v>
      </c>
      <c r="AT49" s="39">
        <f t="shared" si="150"/>
        <v>20401.6591374156</v>
      </c>
      <c r="AU49" s="39">
        <f t="shared" si="150"/>
        <v>16692.2665669764</v>
      </c>
      <c r="AV49" s="39">
        <f t="shared" si="150"/>
        <v>19973.6523023649</v>
      </c>
      <c r="AW49" s="39">
        <f t="shared" si="150"/>
        <v>29247.1337284629</v>
      </c>
      <c r="AX49" s="39">
        <f t="shared" si="150"/>
        <v>13553.5497766047</v>
      </c>
      <c r="AY49" s="43">
        <f t="shared" ref="AY49:BA49" si="151">AY48</f>
        <v>0.015</v>
      </c>
      <c r="AZ49" s="43">
        <f t="shared" si="151"/>
        <v>0.03</v>
      </c>
      <c r="BA49" s="43">
        <f t="shared" si="151"/>
        <v>0.03</v>
      </c>
      <c r="BB49" s="43">
        <v>0.0574548423329677</v>
      </c>
      <c r="BC49" s="43">
        <v>0.0565825345330015</v>
      </c>
      <c r="BD49" s="43">
        <v>0.0445868392477935</v>
      </c>
      <c r="BE49" s="43">
        <v>0.0335174264810441</v>
      </c>
      <c r="BF49" s="43">
        <v>0.0309533467772201</v>
      </c>
      <c r="BG49" s="43">
        <v>0.0295247111726069</v>
      </c>
      <c r="BH49" s="47"/>
      <c r="BI49" s="47"/>
      <c r="BJ49" s="47"/>
      <c r="BK49" s="47"/>
      <c r="BL49" s="47"/>
      <c r="BM49" s="47"/>
      <c r="BN49" s="47"/>
      <c r="BO49" s="53">
        <f t="shared" si="15"/>
        <v>6626.17461435863</v>
      </c>
      <c r="BP49" s="54">
        <f t="shared" si="16"/>
        <v>0.015</v>
      </c>
      <c r="BQ49" s="56">
        <f t="shared" si="17"/>
        <v>0</v>
      </c>
      <c r="BR49" s="56"/>
      <c r="BS49" s="56">
        <f t="shared" si="19"/>
        <v>1128.58403330357</v>
      </c>
      <c r="BT49" s="58"/>
      <c r="BU49" s="58">
        <v>1231477.27</v>
      </c>
      <c r="BV49" s="59">
        <v>0.0745224627024117</v>
      </c>
      <c r="BW49" s="60">
        <f t="shared" si="20"/>
        <v>12.1190154838965</v>
      </c>
      <c r="BX49" s="58">
        <f t="shared" si="33"/>
        <v>2824.30993503611</v>
      </c>
      <c r="BY49" s="58">
        <v>820405.63</v>
      </c>
      <c r="BZ49" s="58">
        <f t="shared" si="29"/>
        <v>3084.05387805187</v>
      </c>
      <c r="CA49" s="58">
        <f t="shared" si="9"/>
        <v>0</v>
      </c>
      <c r="CB49" s="59">
        <v>0.0514135352606937</v>
      </c>
      <c r="CC49" s="60">
        <f t="shared" si="22"/>
        <v>6.94187289166159</v>
      </c>
      <c r="CD49" s="58">
        <f t="shared" si="75"/>
        <v>2456.23408351195</v>
      </c>
      <c r="CE49" s="58">
        <v>773963.04</v>
      </c>
      <c r="CF49" s="58">
        <f t="shared" si="24"/>
        <v>4039.45519223861</v>
      </c>
      <c r="CG49" s="58">
        <v>1114436</v>
      </c>
      <c r="CH49" s="58">
        <f t="shared" si="79"/>
        <v>8402.59143256768</v>
      </c>
      <c r="CI49" s="58">
        <v>512838</v>
      </c>
    </row>
    <row r="50" spans="11:69"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X50" s="17"/>
      <c r="Y50" s="17"/>
      <c r="Z50" s="17"/>
      <c r="AA50" s="17"/>
      <c r="AB50" s="17"/>
      <c r="AC50" s="17"/>
      <c r="AD50" s="17"/>
      <c r="AE50" s="17"/>
      <c r="AF50" s="17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BO50" s="17"/>
      <c r="BP50" s="17"/>
      <c r="BQ50" s="17"/>
    </row>
    <row r="51" spans="1:79">
      <c r="A51" s="11"/>
      <c r="B51" s="11"/>
      <c r="C51" s="11"/>
      <c r="D51" s="12"/>
      <c r="E51" s="12"/>
      <c r="F51" s="11"/>
      <c r="G51" s="11"/>
      <c r="H51" s="11"/>
      <c r="I51" s="22">
        <f t="shared" ref="I51:S51" si="152">SUM(I3:I49)</f>
        <v>2470000</v>
      </c>
      <c r="J51" s="22">
        <f t="shared" si="152"/>
        <v>3617870.8514754</v>
      </c>
      <c r="K51" s="22">
        <f t="shared" si="152"/>
        <v>2015280</v>
      </c>
      <c r="L51" s="22">
        <f t="shared" si="152"/>
        <v>3467337.4202833</v>
      </c>
      <c r="M51" s="22">
        <f t="shared" si="152"/>
        <v>0</v>
      </c>
      <c r="N51" s="22">
        <f t="shared" si="152"/>
        <v>3467337.4202833</v>
      </c>
      <c r="O51" s="22">
        <f t="shared" si="152"/>
        <v>0</v>
      </c>
      <c r="P51" s="22">
        <f t="shared" si="152"/>
        <v>0</v>
      </c>
      <c r="Q51" s="22">
        <f t="shared" si="152"/>
        <v>0</v>
      </c>
      <c r="R51" s="22">
        <f t="shared" si="152"/>
        <v>0</v>
      </c>
      <c r="S51" s="22">
        <f t="shared" si="152"/>
        <v>0</v>
      </c>
      <c r="T51" s="22"/>
      <c r="U51" s="22"/>
      <c r="V51" s="22"/>
      <c r="W51" s="11"/>
      <c r="X51" s="22">
        <f t="shared" ref="X51:AE51" si="153">SUM(X3:X49)</f>
        <v>7085208.2717587</v>
      </c>
      <c r="Y51" s="22">
        <f t="shared" si="153"/>
        <v>1500000</v>
      </c>
      <c r="Z51" s="22">
        <f t="shared" si="153"/>
        <v>1300000</v>
      </c>
      <c r="AA51" s="22">
        <f t="shared" si="153"/>
        <v>0</v>
      </c>
      <c r="AB51" s="22">
        <f t="shared" si="153"/>
        <v>0</v>
      </c>
      <c r="AC51" s="22">
        <f t="shared" si="153"/>
        <v>0</v>
      </c>
      <c r="AD51" s="22">
        <f t="shared" si="153"/>
        <v>2800000</v>
      </c>
      <c r="AE51" s="22">
        <f t="shared" si="153"/>
        <v>-4285208.27175869</v>
      </c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>
        <f t="shared" ref="AP51:AX51" si="154">SUM(AP3:AP49)</f>
        <v>0</v>
      </c>
      <c r="AQ51" s="22">
        <f t="shared" si="154"/>
        <v>1267650.53111702</v>
      </c>
      <c r="AR51" s="22">
        <f t="shared" si="154"/>
        <v>1040201.22608499</v>
      </c>
      <c r="AS51" s="22">
        <f t="shared" si="154"/>
        <v>2350220.32035838</v>
      </c>
      <c r="AT51" s="22">
        <f t="shared" si="154"/>
        <v>495829.251100511</v>
      </c>
      <c r="AU51" s="22">
        <f t="shared" si="154"/>
        <v>405678.478173146</v>
      </c>
      <c r="AV51" s="22">
        <f t="shared" si="154"/>
        <v>485427.238839662</v>
      </c>
      <c r="AW51" s="22">
        <f t="shared" si="154"/>
        <v>710804.171158076</v>
      </c>
      <c r="AX51" s="22">
        <f t="shared" si="154"/>
        <v>329397.054926913</v>
      </c>
      <c r="BH51" s="22"/>
      <c r="BI51" s="22">
        <f t="shared" ref="BI51:BN51" si="155">SUM(BI3:BI49)</f>
        <v>871000</v>
      </c>
      <c r="BJ51" s="22">
        <f t="shared" si="155"/>
        <v>420000</v>
      </c>
      <c r="BK51" s="22">
        <f t="shared" si="155"/>
        <v>1295000</v>
      </c>
      <c r="BL51" s="22">
        <f t="shared" si="155"/>
        <v>115000</v>
      </c>
      <c r="BM51" s="22">
        <f t="shared" si="155"/>
        <v>115000</v>
      </c>
      <c r="BN51" s="22">
        <f t="shared" si="155"/>
        <v>2816000</v>
      </c>
      <c r="BO51" s="22"/>
      <c r="BP51" s="22"/>
      <c r="BQ51" s="22"/>
      <c r="BR51" s="12"/>
      <c r="BS51" s="12"/>
      <c r="BU51" s="22">
        <f>SUM(BU3:BU49)</f>
        <v>19406323.83</v>
      </c>
      <c r="BZ51" s="22"/>
      <c r="CA51" s="22">
        <f>SUM(CA3:CA49)</f>
        <v>1340250.20065751</v>
      </c>
    </row>
  </sheetData>
  <mergeCells count="17">
    <mergeCell ref="I1:X1"/>
    <mergeCell ref="Y1:AD1"/>
    <mergeCell ref="AG1:AO1"/>
    <mergeCell ref="AP1:AX1"/>
    <mergeCell ref="AY1:BG1"/>
    <mergeCell ref="BH1:BN1"/>
    <mergeCell ref="BO1:CI1"/>
    <mergeCell ref="A1:A2"/>
    <mergeCell ref="B1:B2"/>
    <mergeCell ref="C1:C2"/>
    <mergeCell ref="D1:D2"/>
    <mergeCell ref="E1:E2"/>
    <mergeCell ref="F1:F2"/>
    <mergeCell ref="G1:G2"/>
    <mergeCell ref="H1:H2"/>
    <mergeCell ref="AE1:AE2"/>
    <mergeCell ref="AF1:AF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108"/>
  <sheetViews>
    <sheetView workbookViewId="0">
      <selection activeCell="U15" sqref="U15"/>
    </sheetView>
  </sheetViews>
  <sheetFormatPr defaultColWidth="9" defaultRowHeight="16.8"/>
  <cols>
    <col min="1" max="2" width="9" style="1"/>
    <col min="3" max="3" width="15" style="1"/>
    <col min="4" max="4" width="17.4423076923077" style="1"/>
    <col min="5" max="5" width="9" style="1"/>
    <col min="7" max="8" width="9" style="1"/>
    <col min="9" max="9" width="15" style="1"/>
    <col min="10" max="10" width="17.4423076923077" style="1"/>
    <col min="11" max="11" width="9" style="1"/>
    <col min="13" max="14" width="9" style="1"/>
    <col min="15" max="15" width="15" style="1"/>
    <col min="16" max="16" width="17.4423076923077" style="1"/>
    <col min="17" max="17" width="9" style="1"/>
  </cols>
  <sheetData>
    <row r="1" ht="17.6" spans="1:17">
      <c r="A1" s="2" t="s">
        <v>106</v>
      </c>
      <c r="B1" s="3"/>
      <c r="C1" s="3"/>
      <c r="D1" s="3"/>
      <c r="E1" s="3"/>
      <c r="G1" s="2" t="s">
        <v>107</v>
      </c>
      <c r="H1" s="3"/>
      <c r="I1" s="3"/>
      <c r="J1" s="3"/>
      <c r="K1" s="3"/>
      <c r="M1" s="2" t="s">
        <v>108</v>
      </c>
      <c r="N1" s="3"/>
      <c r="O1" s="3"/>
      <c r="P1" s="3"/>
      <c r="Q1" s="3"/>
    </row>
    <row r="2" spans="1:17">
      <c r="A2" s="4"/>
      <c r="B2" s="5" t="s">
        <v>109</v>
      </c>
      <c r="C2" s="5" t="s">
        <v>110</v>
      </c>
      <c r="D2" s="5" t="s">
        <v>111</v>
      </c>
      <c r="E2" s="5" t="s">
        <v>112</v>
      </c>
      <c r="G2" s="4"/>
      <c r="H2" s="5" t="s">
        <v>109</v>
      </c>
      <c r="I2" s="5" t="s">
        <v>110</v>
      </c>
      <c r="J2" s="5" t="s">
        <v>113</v>
      </c>
      <c r="K2" s="5" t="s">
        <v>112</v>
      </c>
      <c r="M2" s="4"/>
      <c r="N2" s="5" t="s">
        <v>109</v>
      </c>
      <c r="O2" s="5" t="s">
        <v>110</v>
      </c>
      <c r="P2" s="5" t="s">
        <v>113</v>
      </c>
      <c r="Q2" s="5" t="s">
        <v>112</v>
      </c>
    </row>
    <row r="3" spans="1:17">
      <c r="A3" s="4">
        <v>2023</v>
      </c>
      <c r="B3" s="5">
        <v>1</v>
      </c>
      <c r="C3" s="6">
        <v>-10000</v>
      </c>
      <c r="D3" s="6">
        <v>1515.89</v>
      </c>
      <c r="E3" s="4"/>
      <c r="G3" s="4">
        <v>2022</v>
      </c>
      <c r="H3" s="5">
        <v>1</v>
      </c>
      <c r="I3" s="6">
        <v>-50000</v>
      </c>
      <c r="J3" s="6">
        <v>24842.33</v>
      </c>
      <c r="K3" s="4"/>
      <c r="M3" s="4">
        <v>2024</v>
      </c>
      <c r="N3" s="5">
        <v>1</v>
      </c>
      <c r="O3" s="6">
        <v>-14000</v>
      </c>
      <c r="P3" s="6">
        <v>5471</v>
      </c>
      <c r="Q3" s="4"/>
    </row>
    <row r="4" spans="1:17">
      <c r="A4" s="4">
        <v>2024</v>
      </c>
      <c r="B4" s="5">
        <v>2</v>
      </c>
      <c r="C4" s="6">
        <f t="shared" ref="C4:C22" si="0">C3</f>
        <v>-10000</v>
      </c>
      <c r="D4" s="6">
        <v>3648.89</v>
      </c>
      <c r="E4" s="4"/>
      <c r="G4" s="4">
        <v>2023</v>
      </c>
      <c r="H4" s="5">
        <v>2</v>
      </c>
      <c r="I4" s="6">
        <v>-50000</v>
      </c>
      <c r="J4" s="6">
        <v>64357.88</v>
      </c>
      <c r="K4" s="4"/>
      <c r="M4" s="4">
        <v>2025</v>
      </c>
      <c r="N4" s="5">
        <v>2</v>
      </c>
      <c r="O4" s="6">
        <v>-14000</v>
      </c>
      <c r="P4" s="6">
        <v>15396</v>
      </c>
      <c r="Q4" s="4"/>
    </row>
    <row r="5" spans="1:17">
      <c r="A5" s="4">
        <v>2025</v>
      </c>
      <c r="B5" s="5">
        <v>3</v>
      </c>
      <c r="C5" s="6">
        <f t="shared" si="0"/>
        <v>-10000</v>
      </c>
      <c r="D5" s="6">
        <v>6442.72</v>
      </c>
      <c r="E5" s="4"/>
      <c r="G5" s="4">
        <v>2024</v>
      </c>
      <c r="H5" s="5">
        <v>3</v>
      </c>
      <c r="I5" s="6">
        <v>-50000</v>
      </c>
      <c r="J5" s="6">
        <v>114501.89</v>
      </c>
      <c r="K5" s="4"/>
      <c r="M5" s="4">
        <v>2026</v>
      </c>
      <c r="N5" s="5">
        <v>3</v>
      </c>
      <c r="O5" s="6">
        <v>-14000</v>
      </c>
      <c r="P5" s="6">
        <v>27737</v>
      </c>
      <c r="Q5" s="4"/>
    </row>
    <row r="6" spans="1:17">
      <c r="A6" s="4">
        <v>2026</v>
      </c>
      <c r="B6" s="5">
        <v>4</v>
      </c>
      <c r="C6" s="6">
        <f t="shared" si="0"/>
        <v>-10000</v>
      </c>
      <c r="D6" s="6">
        <v>16418.42</v>
      </c>
      <c r="E6" s="4"/>
      <c r="G6" s="4">
        <v>2025</v>
      </c>
      <c r="H6" s="5">
        <v>4</v>
      </c>
      <c r="I6" s="6">
        <v>-50000</v>
      </c>
      <c r="J6" s="6">
        <v>173243.05</v>
      </c>
      <c r="K6" s="4"/>
      <c r="M6" s="4">
        <v>2027</v>
      </c>
      <c r="N6" s="5">
        <v>4</v>
      </c>
      <c r="O6" s="6">
        <v>-14000</v>
      </c>
      <c r="P6" s="6">
        <v>41847</v>
      </c>
      <c r="Q6" s="4"/>
    </row>
    <row r="7" spans="1:17">
      <c r="A7" s="4">
        <v>2027</v>
      </c>
      <c r="B7" s="5">
        <v>5</v>
      </c>
      <c r="C7" s="6">
        <f t="shared" si="0"/>
        <v>-10000</v>
      </c>
      <c r="D7" s="6">
        <v>26983.69</v>
      </c>
      <c r="E7" s="4"/>
      <c r="G7" s="4">
        <v>2026</v>
      </c>
      <c r="H7" s="5">
        <v>5</v>
      </c>
      <c r="I7" s="6">
        <v>-50000</v>
      </c>
      <c r="J7" s="6">
        <v>237970.34</v>
      </c>
      <c r="K7" s="4"/>
      <c r="M7" s="4">
        <v>2028</v>
      </c>
      <c r="N7" s="5">
        <v>5</v>
      </c>
      <c r="O7" s="6">
        <v>-14000</v>
      </c>
      <c r="P7" s="6">
        <v>56982</v>
      </c>
      <c r="Q7" s="4"/>
    </row>
    <row r="8" spans="1:17">
      <c r="A8" s="4">
        <v>2028</v>
      </c>
      <c r="B8" s="5">
        <v>6</v>
      </c>
      <c r="C8" s="6">
        <f t="shared" si="0"/>
        <v>-10000</v>
      </c>
      <c r="D8" s="6">
        <v>38163.01</v>
      </c>
      <c r="E8" s="4"/>
      <c r="G8" s="4">
        <v>2027</v>
      </c>
      <c r="H8" s="5">
        <v>6</v>
      </c>
      <c r="I8" s="6">
        <v>0</v>
      </c>
      <c r="J8" s="6">
        <v>244276.27</v>
      </c>
      <c r="K8" s="7">
        <f>IRR((I$3:I8,J8),-10%)</f>
        <v>-0.00578189597444179</v>
      </c>
      <c r="M8" s="4">
        <v>2029</v>
      </c>
      <c r="N8" s="5">
        <v>6</v>
      </c>
      <c r="O8" s="6">
        <v>-14000</v>
      </c>
      <c r="P8" s="6">
        <v>73177</v>
      </c>
      <c r="Q8" s="4"/>
    </row>
    <row r="9" spans="1:17">
      <c r="A9" s="4">
        <v>2029</v>
      </c>
      <c r="B9" s="5">
        <v>7</v>
      </c>
      <c r="C9" s="6">
        <f t="shared" si="0"/>
        <v>-10000</v>
      </c>
      <c r="D9" s="6">
        <v>49982.23</v>
      </c>
      <c r="E9" s="4"/>
      <c r="G9" s="4">
        <v>2028</v>
      </c>
      <c r="H9" s="5">
        <v>7</v>
      </c>
      <c r="I9" s="6">
        <v>0</v>
      </c>
      <c r="J9" s="6">
        <v>250747.41</v>
      </c>
      <c r="K9" s="7">
        <f>IRR((I$3:I9,J9),-10%)</f>
        <v>0.000597142928224992</v>
      </c>
      <c r="M9" s="4">
        <v>2030</v>
      </c>
      <c r="N9" s="5">
        <v>7</v>
      </c>
      <c r="O9" s="6">
        <v>-14000</v>
      </c>
      <c r="P9" s="6">
        <v>90466</v>
      </c>
      <c r="Q9" s="4"/>
    </row>
    <row r="10" spans="1:17">
      <c r="A10" s="4">
        <v>2030</v>
      </c>
      <c r="B10" s="5">
        <v>8</v>
      </c>
      <c r="C10" s="6">
        <f t="shared" si="0"/>
        <v>-10000</v>
      </c>
      <c r="D10" s="6">
        <v>62468.42</v>
      </c>
      <c r="E10" s="4"/>
      <c r="G10" s="4">
        <v>2029</v>
      </c>
      <c r="H10" s="5">
        <v>8</v>
      </c>
      <c r="I10" s="6">
        <v>0</v>
      </c>
      <c r="J10" s="6">
        <v>257388.91</v>
      </c>
      <c r="K10" s="7">
        <f>IRR((I$3:I10,J10),-10%)</f>
        <v>0.00486241053898406</v>
      </c>
      <c r="M10" s="4">
        <v>2031</v>
      </c>
      <c r="N10" s="5">
        <v>8</v>
      </c>
      <c r="O10" s="6">
        <v>-14000</v>
      </c>
      <c r="P10" s="6">
        <v>108885</v>
      </c>
      <c r="Q10" s="4"/>
    </row>
    <row r="11" spans="1:17">
      <c r="A11" s="4">
        <v>2031</v>
      </c>
      <c r="B11" s="5">
        <v>9</v>
      </c>
      <c r="C11" s="6">
        <f t="shared" si="0"/>
        <v>-10000</v>
      </c>
      <c r="D11" s="6">
        <v>75649.84</v>
      </c>
      <c r="E11" s="7"/>
      <c r="G11" s="4">
        <v>2030</v>
      </c>
      <c r="H11" s="5">
        <v>9</v>
      </c>
      <c r="I11" s="6">
        <v>0</v>
      </c>
      <c r="J11" s="6">
        <v>264206.29</v>
      </c>
      <c r="K11" s="7">
        <f>IRR((I$3:I11,J11),-10%)</f>
        <v>0.00791790815254179</v>
      </c>
      <c r="M11" s="4">
        <v>2032</v>
      </c>
      <c r="N11" s="5">
        <v>9</v>
      </c>
      <c r="O11" s="6">
        <v>-14000</v>
      </c>
      <c r="P11" s="6">
        <v>128468</v>
      </c>
      <c r="Q11" s="7"/>
    </row>
    <row r="12" spans="1:17">
      <c r="A12" s="4">
        <v>2032</v>
      </c>
      <c r="B12" s="5">
        <v>10</v>
      </c>
      <c r="C12" s="6">
        <f t="shared" si="0"/>
        <v>-10000</v>
      </c>
      <c r="D12" s="6">
        <v>89556.03</v>
      </c>
      <c r="E12" s="7"/>
      <c r="G12" s="4">
        <v>2031</v>
      </c>
      <c r="H12" s="5">
        <v>10</v>
      </c>
      <c r="I12" s="6">
        <v>0</v>
      </c>
      <c r="J12" s="6">
        <v>271205.66</v>
      </c>
      <c r="K12" s="7">
        <f>IRR((I$3:I12,J12),-10%)</f>
        <v>0.0102159804983708</v>
      </c>
      <c r="M12" s="4">
        <v>2033</v>
      </c>
      <c r="N12" s="5">
        <v>10</v>
      </c>
      <c r="O12" s="6">
        <v>-14000</v>
      </c>
      <c r="P12" s="6">
        <v>149255</v>
      </c>
      <c r="Q12" s="7">
        <f>IRR((O$3:O12,P12),-10%)</f>
        <v>0.0116058588799055</v>
      </c>
    </row>
    <row r="13" spans="1:17">
      <c r="A13" s="4">
        <v>2033</v>
      </c>
      <c r="B13" s="5">
        <v>11</v>
      </c>
      <c r="C13" s="6">
        <f t="shared" si="0"/>
        <v>-10000</v>
      </c>
      <c r="D13" s="6">
        <v>104217.87</v>
      </c>
      <c r="E13" s="7"/>
      <c r="G13" s="4">
        <v>2032</v>
      </c>
      <c r="H13" s="5">
        <v>11</v>
      </c>
      <c r="I13" s="6">
        <v>0</v>
      </c>
      <c r="J13" s="6">
        <v>278393.46</v>
      </c>
      <c r="K13" s="7">
        <f>IRR((I$3:I13,J13),-10%)</f>
        <v>0.012008421690765</v>
      </c>
      <c r="M13" s="4">
        <v>2034</v>
      </c>
      <c r="N13" s="5">
        <v>11</v>
      </c>
      <c r="O13" s="6">
        <v>0</v>
      </c>
      <c r="P13" s="6">
        <v>153815</v>
      </c>
      <c r="Q13" s="7">
        <f>IRR((O$3:O13,P13),-10%)</f>
        <v>0.0144509840221365</v>
      </c>
    </row>
    <row r="14" spans="1:17">
      <c r="A14" s="4">
        <v>2034</v>
      </c>
      <c r="B14" s="5">
        <v>12</v>
      </c>
      <c r="C14" s="6">
        <f t="shared" si="0"/>
        <v>-10000</v>
      </c>
      <c r="D14" s="6">
        <v>119667.6</v>
      </c>
      <c r="E14" s="7"/>
      <c r="G14" s="4">
        <v>2033</v>
      </c>
      <c r="H14" s="5">
        <v>12</v>
      </c>
      <c r="I14" s="6">
        <v>0</v>
      </c>
      <c r="J14" s="6">
        <v>285776.72</v>
      </c>
      <c r="K14" s="7">
        <f>IRR((I$3:I14,J14),-10%)</f>
        <v>0.0134467534406</v>
      </c>
      <c r="M14" s="4">
        <v>2035</v>
      </c>
      <c r="N14" s="5">
        <v>12</v>
      </c>
      <c r="O14" s="6">
        <v>0</v>
      </c>
      <c r="P14" s="6">
        <v>158525</v>
      </c>
      <c r="Q14" s="7">
        <f>IRR((O$3:O14,P14),-10%)</f>
        <v>0.0165566104047707</v>
      </c>
    </row>
    <row r="15" spans="1:17">
      <c r="A15" s="4">
        <v>2035</v>
      </c>
      <c r="B15" s="5">
        <v>13</v>
      </c>
      <c r="C15" s="6">
        <f t="shared" si="0"/>
        <v>-10000</v>
      </c>
      <c r="D15" s="6">
        <v>135937.76</v>
      </c>
      <c r="E15" s="7">
        <f>IRR((C$3:C15,D15),-10%)</f>
        <v>0.00636032919640694</v>
      </c>
      <c r="G15" s="4">
        <v>2034</v>
      </c>
      <c r="H15" s="5">
        <v>13</v>
      </c>
      <c r="I15" s="6">
        <v>0</v>
      </c>
      <c r="J15" s="6">
        <v>293362.99</v>
      </c>
      <c r="K15" s="7">
        <f>IRR((I$3:I15,J15),-10%)</f>
        <v>0.0146276731046764</v>
      </c>
      <c r="M15" s="4">
        <v>2036</v>
      </c>
      <c r="N15" s="5">
        <v>13</v>
      </c>
      <c r="O15" s="6">
        <v>0</v>
      </c>
      <c r="P15" s="6">
        <v>163393</v>
      </c>
      <c r="Q15" s="7">
        <f>IRR((O$3:O15,P15),-10%)</f>
        <v>0.018184141993681</v>
      </c>
    </row>
    <row r="16" spans="1:17">
      <c r="A16" s="4">
        <v>2036</v>
      </c>
      <c r="B16" s="5">
        <v>14</v>
      </c>
      <c r="C16" s="6">
        <f t="shared" si="0"/>
        <v>-10000</v>
      </c>
      <c r="D16" s="6">
        <v>153062.12</v>
      </c>
      <c r="E16" s="7">
        <f>IRR((C$3:C16,D16),-10%)</f>
        <v>0.0118133723708924</v>
      </c>
      <c r="G16" s="4">
        <v>2035</v>
      </c>
      <c r="H16" s="5">
        <v>14</v>
      </c>
      <c r="I16" s="6">
        <v>0</v>
      </c>
      <c r="J16" s="6">
        <v>301160.52</v>
      </c>
      <c r="K16" s="7">
        <f>IRR((I$3:I16,J16),-10%)</f>
        <v>0.015615873515999</v>
      </c>
      <c r="M16" s="4">
        <v>2037</v>
      </c>
      <c r="N16" s="5">
        <v>14</v>
      </c>
      <c r="O16" s="6">
        <v>0</v>
      </c>
      <c r="P16" s="6">
        <v>168428</v>
      </c>
      <c r="Q16" s="7">
        <f>IRR((O$3:O16,P16),-10%)</f>
        <v>0.019485327108455</v>
      </c>
    </row>
    <row r="17" spans="1:17">
      <c r="A17" s="4">
        <v>2037</v>
      </c>
      <c r="B17" s="5">
        <v>15</v>
      </c>
      <c r="C17" s="6">
        <f t="shared" si="0"/>
        <v>-10000</v>
      </c>
      <c r="D17" s="6">
        <v>171076.44</v>
      </c>
      <c r="E17" s="7">
        <f>IRR((C$3:C17,D17),-10%)</f>
        <v>0.0162617764122599</v>
      </c>
      <c r="G17" s="4">
        <v>2036</v>
      </c>
      <c r="H17" s="5">
        <v>15</v>
      </c>
      <c r="I17" s="6">
        <v>0</v>
      </c>
      <c r="J17" s="6">
        <v>309177.96</v>
      </c>
      <c r="K17" s="7">
        <f>IRR((I$3:I17,J17),-10%)</f>
        <v>0.0164562219165867</v>
      </c>
      <c r="M17" s="4">
        <v>2038</v>
      </c>
      <c r="N17" s="5">
        <v>15</v>
      </c>
      <c r="O17" s="6">
        <v>0</v>
      </c>
      <c r="P17" s="6">
        <v>173639</v>
      </c>
      <c r="Q17" s="7">
        <f>IRR((O$3:O17,P17),-10%)</f>
        <v>0.0205540099601735</v>
      </c>
    </row>
    <row r="18" spans="1:17">
      <c r="A18" s="4">
        <v>2038</v>
      </c>
      <c r="B18" s="5">
        <v>16</v>
      </c>
      <c r="C18" s="6">
        <f t="shared" si="0"/>
        <v>-10000</v>
      </c>
      <c r="D18" s="6">
        <v>190017.9</v>
      </c>
      <c r="E18" s="7">
        <f>IRR((C$3:C18,D18),-10%)</f>
        <v>0.0199381456654428</v>
      </c>
      <c r="G18" s="4">
        <v>2037</v>
      </c>
      <c r="H18" s="5">
        <v>16</v>
      </c>
      <c r="I18" s="6">
        <v>0</v>
      </c>
      <c r="J18" s="6">
        <v>317424.75</v>
      </c>
      <c r="K18" s="7">
        <f>IRR((I$3:I18,J18),-10%)</f>
        <v>0.0171809006763903</v>
      </c>
      <c r="M18" s="4">
        <v>2039</v>
      </c>
      <c r="N18" s="5">
        <v>16</v>
      </c>
      <c r="O18" s="6">
        <v>0</v>
      </c>
      <c r="P18" s="6">
        <v>179036</v>
      </c>
      <c r="Q18" s="7">
        <f>IRR((O$3:O18,P18),-10%)</f>
        <v>0.0214517972762125</v>
      </c>
    </row>
    <row r="19" spans="1:17">
      <c r="A19" s="4">
        <v>2039</v>
      </c>
      <c r="B19" s="5">
        <v>17</v>
      </c>
      <c r="C19" s="6">
        <f t="shared" si="0"/>
        <v>-10000</v>
      </c>
      <c r="D19" s="6">
        <v>209925.16</v>
      </c>
      <c r="E19" s="7">
        <f>IRR((C$3:C19,D19),-10%)</f>
        <v>0.0230107172725205</v>
      </c>
      <c r="G19" s="4">
        <v>2038</v>
      </c>
      <c r="H19" s="5">
        <v>17</v>
      </c>
      <c r="I19" s="6">
        <v>0</v>
      </c>
      <c r="J19" s="6">
        <v>325910.87</v>
      </c>
      <c r="K19" s="7">
        <f>IRR((I$3:I19,J19),-10%)</f>
        <v>0.0178135540505746</v>
      </c>
      <c r="M19" s="4">
        <v>2040</v>
      </c>
      <c r="N19" s="5">
        <v>17</v>
      </c>
      <c r="O19" s="6">
        <v>0</v>
      </c>
      <c r="P19" s="6">
        <v>184627</v>
      </c>
      <c r="Q19" s="7">
        <f>IRR((O$3:O19,P19),-10%)</f>
        <v>0.022219558335469</v>
      </c>
    </row>
    <row r="20" spans="1:17">
      <c r="A20" s="4">
        <v>2040</v>
      </c>
      <c r="B20" s="5">
        <v>18</v>
      </c>
      <c r="C20" s="6">
        <f t="shared" si="0"/>
        <v>-10000</v>
      </c>
      <c r="D20" s="6">
        <v>230838.43</v>
      </c>
      <c r="E20" s="7">
        <f>IRR((C$3:C20,D20),-10%)</f>
        <v>0.0256037690624371</v>
      </c>
      <c r="G20" s="4">
        <v>2039</v>
      </c>
      <c r="H20" s="5">
        <v>18</v>
      </c>
      <c r="I20" s="6">
        <v>0</v>
      </c>
      <c r="J20" s="6">
        <v>334646.81</v>
      </c>
      <c r="K20" s="7">
        <f>IRR((I$3:I20,J20),-10%)</f>
        <v>0.0183719346356261</v>
      </c>
      <c r="M20" s="4">
        <v>2041</v>
      </c>
      <c r="N20" s="5">
        <v>18</v>
      </c>
      <c r="O20" s="6">
        <v>0</v>
      </c>
      <c r="P20" s="6">
        <v>190422</v>
      </c>
      <c r="Q20" s="7">
        <f>IRR((O$3:O20,P20),-10%)</f>
        <v>0.0228867802771324</v>
      </c>
    </row>
    <row r="21" spans="1:17">
      <c r="A21" s="4">
        <v>2041</v>
      </c>
      <c r="B21" s="5">
        <v>19</v>
      </c>
      <c r="C21" s="6">
        <f t="shared" si="0"/>
        <v>-10000</v>
      </c>
      <c r="D21" s="6">
        <v>252771.98</v>
      </c>
      <c r="E21" s="7">
        <f>IRR((C$3:C21,D21),-10%)</f>
        <v>0.027800467926075</v>
      </c>
      <c r="G21" s="4">
        <v>2040</v>
      </c>
      <c r="H21" s="5">
        <v>19</v>
      </c>
      <c r="I21" s="6">
        <v>0</v>
      </c>
      <c r="J21" s="6">
        <v>343644.09</v>
      </c>
      <c r="K21" s="7">
        <f>IRR((I$3:I21,J21),-10%)</f>
        <v>0.0188697156707347</v>
      </c>
      <c r="M21" s="4">
        <v>2042</v>
      </c>
      <c r="N21" s="5">
        <v>19</v>
      </c>
      <c r="O21" s="6">
        <v>0</v>
      </c>
      <c r="P21" s="6">
        <v>196433</v>
      </c>
      <c r="Q21" s="7">
        <f>IRR((O$3:O21,P21),-10%)</f>
        <v>0.0234753757389885</v>
      </c>
    </row>
    <row r="22" spans="1:17">
      <c r="A22" s="4">
        <v>2042</v>
      </c>
      <c r="B22" s="5">
        <v>20</v>
      </c>
      <c r="C22" s="6">
        <f t="shared" si="0"/>
        <v>-10000</v>
      </c>
      <c r="D22" s="6">
        <v>275797.59</v>
      </c>
      <c r="E22" s="7">
        <f>IRR((C$3:C22,D22),-10%)</f>
        <v>0.0296857164722382</v>
      </c>
      <c r="G22" s="4">
        <v>2041</v>
      </c>
      <c r="H22" s="5">
        <v>20</v>
      </c>
      <c r="I22" s="6">
        <v>0</v>
      </c>
      <c r="J22" s="6">
        <v>352904.54</v>
      </c>
      <c r="K22" s="7">
        <f>IRR((I$3:I22,J22),-10%)</f>
        <v>0.0193158884630875</v>
      </c>
      <c r="M22" s="4">
        <v>2043</v>
      </c>
      <c r="N22" s="5">
        <v>20</v>
      </c>
      <c r="O22" s="6">
        <v>0</v>
      </c>
      <c r="P22" s="6">
        <v>202831</v>
      </c>
      <c r="Q22" s="7">
        <f>IRR((O$3:O22,P22),-10%)</f>
        <v>0.0240525481897853</v>
      </c>
    </row>
    <row r="23" spans="1:17">
      <c r="A23" s="4">
        <v>2043</v>
      </c>
      <c r="B23" s="5">
        <v>21</v>
      </c>
      <c r="C23" s="6">
        <v>0</v>
      </c>
      <c r="D23" s="6">
        <v>285429.1</v>
      </c>
      <c r="E23" s="7">
        <f>IRR((C$3:C23,D23),-10%)</f>
        <v>0.0301045508896236</v>
      </c>
      <c r="G23" s="4">
        <v>2042</v>
      </c>
      <c r="H23" s="5">
        <v>21</v>
      </c>
      <c r="I23" s="6">
        <v>0</v>
      </c>
      <c r="J23" s="6">
        <v>362412.59</v>
      </c>
      <c r="K23" s="7">
        <f>IRR((I$3:I23,J23),-10%)</f>
        <v>0.0197150492791083</v>
      </c>
      <c r="M23" s="4">
        <v>2044</v>
      </c>
      <c r="N23" s="5">
        <v>21</v>
      </c>
      <c r="O23" s="6">
        <v>0</v>
      </c>
      <c r="P23" s="6">
        <v>209444</v>
      </c>
      <c r="Q23" s="7">
        <f>IRR((O$3:O23,P23),-10%)</f>
        <v>0.0245626448447027</v>
      </c>
    </row>
    <row r="24" spans="1:17">
      <c r="A24" s="4">
        <v>2044</v>
      </c>
      <c r="B24" s="5">
        <v>22</v>
      </c>
      <c r="C24" s="6">
        <f t="shared" ref="C24:C87" si="1">C23</f>
        <v>0</v>
      </c>
      <c r="D24" s="6">
        <v>295402.44</v>
      </c>
      <c r="E24" s="7">
        <f>IRR((C$3:C24,D24),-10%)</f>
        <v>0.0304624396050754</v>
      </c>
      <c r="G24" s="4">
        <v>2043</v>
      </c>
      <c r="H24" s="5">
        <v>22</v>
      </c>
      <c r="I24" s="6">
        <v>0</v>
      </c>
      <c r="J24" s="6">
        <v>372174.38</v>
      </c>
      <c r="K24" s="7">
        <f>IRR((I$3:I24,J24),-10%)</f>
        <v>0.020074159203165</v>
      </c>
      <c r="M24" s="4">
        <v>2045</v>
      </c>
      <c r="N24" s="5">
        <v>22</v>
      </c>
      <c r="O24" s="6">
        <v>0</v>
      </c>
      <c r="P24" s="6">
        <v>216280</v>
      </c>
      <c r="Q24" s="7">
        <f>IRR((O$3:O24,P24),-10%)</f>
        <v>0.0250171897415312</v>
      </c>
    </row>
    <row r="25" spans="1:17">
      <c r="A25" s="4">
        <v>2045</v>
      </c>
      <c r="B25" s="5">
        <v>23</v>
      </c>
      <c r="C25" s="6">
        <f t="shared" si="1"/>
        <v>0</v>
      </c>
      <c r="D25" s="6">
        <v>305730.14</v>
      </c>
      <c r="E25" s="7">
        <f>IRR((C$3:C25,D25),-10%)</f>
        <v>0.0307721582017539</v>
      </c>
      <c r="G25" s="4">
        <v>2044</v>
      </c>
      <c r="H25" s="5">
        <v>23</v>
      </c>
      <c r="I25" s="6">
        <v>0</v>
      </c>
      <c r="J25" s="6">
        <v>382196.17</v>
      </c>
      <c r="K25" s="7">
        <f>IRR((I$3:I25,J25),-10%)</f>
        <v>0.0203988578811427</v>
      </c>
      <c r="M25" s="4">
        <v>2046</v>
      </c>
      <c r="N25" s="5">
        <v>23</v>
      </c>
      <c r="O25" s="6">
        <v>0</v>
      </c>
      <c r="P25" s="6">
        <v>223345</v>
      </c>
      <c r="Q25" s="7">
        <f>IRR((O$3:O25,P25),-10%)</f>
        <v>0.0254246638559537</v>
      </c>
    </row>
    <row r="26" spans="1:17">
      <c r="A26" s="4">
        <v>2046</v>
      </c>
      <c r="B26" s="5">
        <v>24</v>
      </c>
      <c r="C26" s="6">
        <f t="shared" si="1"/>
        <v>0</v>
      </c>
      <c r="D26" s="6">
        <v>316425.25</v>
      </c>
      <c r="E26" s="7">
        <f>IRR((C$3:C26,D26),-10%)</f>
        <v>0.0310431524070249</v>
      </c>
      <c r="G26" s="4">
        <v>2045</v>
      </c>
      <c r="H26" s="5">
        <v>24</v>
      </c>
      <c r="I26" s="6">
        <v>0</v>
      </c>
      <c r="J26" s="6">
        <v>392484.25</v>
      </c>
      <c r="K26" s="7">
        <f>IRR((I$3:I26,J26),-10%)</f>
        <v>0.0206937520934083</v>
      </c>
      <c r="M26" s="4">
        <v>2047</v>
      </c>
      <c r="N26" s="5">
        <v>24</v>
      </c>
      <c r="O26" s="6">
        <v>0</v>
      </c>
      <c r="P26" s="6">
        <v>230647</v>
      </c>
      <c r="Q26" s="7">
        <f>IRR((O$3:O26,P26),-10%)</f>
        <v>0.0257922639707517</v>
      </c>
    </row>
    <row r="27" spans="1:17">
      <c r="A27" s="4">
        <v>2047</v>
      </c>
      <c r="B27" s="5">
        <v>25</v>
      </c>
      <c r="C27" s="6">
        <f t="shared" si="1"/>
        <v>0</v>
      </c>
      <c r="D27" s="6">
        <v>327500.13</v>
      </c>
      <c r="E27" s="7">
        <f>IRR((C$3:C27,D27),-10%)</f>
        <v>0.0312823267789408</v>
      </c>
      <c r="G27" s="4">
        <v>2046</v>
      </c>
      <c r="H27" s="5">
        <v>25</v>
      </c>
      <c r="I27" s="6">
        <v>0</v>
      </c>
      <c r="J27" s="6">
        <v>403044.98</v>
      </c>
      <c r="K27" s="7">
        <f>IRR((I$3:I27,J27),-10%)</f>
        <v>0.0209626451860974</v>
      </c>
      <c r="M27" s="4">
        <v>2048</v>
      </c>
      <c r="N27" s="5">
        <v>25</v>
      </c>
      <c r="O27" s="6">
        <v>0</v>
      </c>
      <c r="P27" s="6">
        <v>238193</v>
      </c>
      <c r="Q27" s="7">
        <f>IRR((O$3:O27,P27),-10%)</f>
        <v>0.0261255259134761</v>
      </c>
    </row>
    <row r="28" spans="1:17">
      <c r="A28" s="4">
        <v>2048</v>
      </c>
      <c r="B28" s="5">
        <v>26</v>
      </c>
      <c r="C28" s="6">
        <f t="shared" si="1"/>
        <v>0</v>
      </c>
      <c r="D28" s="6">
        <v>338962.64</v>
      </c>
      <c r="E28" s="7">
        <f>IRR((C$3:C28,D28),-10%)</f>
        <v>0.0314941504200619</v>
      </c>
      <c r="G28" s="4">
        <v>2047</v>
      </c>
      <c r="H28" s="5">
        <v>26</v>
      </c>
      <c r="I28" s="6">
        <v>0</v>
      </c>
      <c r="J28" s="6">
        <v>413884.77</v>
      </c>
      <c r="K28" s="7">
        <f>IRR((I$3:I28,J28),-10%)</f>
        <v>0.0212087024276233</v>
      </c>
      <c r="M28" s="4">
        <v>2049</v>
      </c>
      <c r="N28" s="5">
        <v>26</v>
      </c>
      <c r="O28" s="6">
        <v>0</v>
      </c>
      <c r="P28" s="6">
        <v>245992</v>
      </c>
      <c r="Q28" s="7">
        <f>IRR((O$3:O28,P28),-10%)</f>
        <v>0.0264293225679952</v>
      </c>
    </row>
    <row r="29" spans="1:17">
      <c r="A29" s="4">
        <v>2049</v>
      </c>
      <c r="B29" s="5">
        <v>27</v>
      </c>
      <c r="C29" s="6">
        <f t="shared" si="1"/>
        <v>0</v>
      </c>
      <c r="D29" s="6">
        <v>350826.33</v>
      </c>
      <c r="E29" s="7">
        <f>IRR((C$3:C29,D29),-10%)</f>
        <v>0.0316830711112783</v>
      </c>
      <c r="G29" s="4">
        <v>2048</v>
      </c>
      <c r="H29" s="5">
        <v>27</v>
      </c>
      <c r="I29" s="6">
        <v>0</v>
      </c>
      <c r="J29" s="6">
        <v>425010.04</v>
      </c>
      <c r="K29" s="7">
        <f>IRR((I$3:I29,J29),-10%)</f>
        <v>0.0214345751576255</v>
      </c>
      <c r="M29" s="4">
        <v>2050</v>
      </c>
      <c r="N29" s="5">
        <v>27</v>
      </c>
      <c r="O29" s="6">
        <v>0</v>
      </c>
      <c r="P29" s="6">
        <v>254050</v>
      </c>
      <c r="Q29" s="7">
        <f>IRR((O$3:O29,P29),-10%)</f>
        <v>0.0267070671989493</v>
      </c>
    </row>
    <row r="30" spans="1:17">
      <c r="A30" s="4">
        <v>2050</v>
      </c>
      <c r="B30" s="5">
        <v>28</v>
      </c>
      <c r="C30" s="6">
        <f t="shared" si="1"/>
        <v>0</v>
      </c>
      <c r="D30" s="6">
        <v>363105.25</v>
      </c>
      <c r="E30" s="7">
        <f>IRR((C$3:C30,D30),-10%)</f>
        <v>0.0318526229636891</v>
      </c>
      <c r="G30" s="4">
        <v>2049</v>
      </c>
      <c r="H30" s="5">
        <v>28</v>
      </c>
      <c r="I30" s="6">
        <v>0</v>
      </c>
      <c r="J30" s="6">
        <v>436427.15</v>
      </c>
      <c r="K30" s="7">
        <f>IRR((I$3:I30,J30),-10%)</f>
        <v>0.0216424942029738</v>
      </c>
      <c r="M30" s="4">
        <v>2051</v>
      </c>
      <c r="N30" s="5">
        <v>28</v>
      </c>
      <c r="O30" s="6">
        <v>0</v>
      </c>
      <c r="P30" s="6">
        <v>262375</v>
      </c>
      <c r="Q30" s="7">
        <f>IRR((O$3:O30,P30),-10%)</f>
        <v>0.0269619345324073</v>
      </c>
    </row>
    <row r="31" spans="1:17">
      <c r="A31" s="4">
        <v>2051</v>
      </c>
      <c r="B31" s="5">
        <v>29</v>
      </c>
      <c r="C31" s="6">
        <f t="shared" si="1"/>
        <v>0</v>
      </c>
      <c r="D31" s="6">
        <v>375813.93</v>
      </c>
      <c r="E31" s="7">
        <f>IRR((C$3:C31,D31),-10%)</f>
        <v>0.0320056455049844</v>
      </c>
      <c r="G31" s="4">
        <v>2050</v>
      </c>
      <c r="H31" s="5">
        <v>29</v>
      </c>
      <c r="I31" s="6">
        <v>0</v>
      </c>
      <c r="J31" s="6">
        <v>448142.44</v>
      </c>
      <c r="K31" s="7">
        <f>IRR((I$3:I31,J31),-10%)</f>
        <v>0.0218343527344962</v>
      </c>
      <c r="M31" s="4">
        <v>2052</v>
      </c>
      <c r="N31" s="5">
        <v>29</v>
      </c>
      <c r="O31" s="6">
        <v>0</v>
      </c>
      <c r="P31" s="6">
        <v>270976</v>
      </c>
      <c r="Q31" s="7">
        <f>IRR((O$3:O31,P31),-10%)</f>
        <v>0.0271967074909332</v>
      </c>
    </row>
    <row r="32" spans="1:17">
      <c r="A32" s="4">
        <v>2052</v>
      </c>
      <c r="B32" s="5">
        <v>30</v>
      </c>
      <c r="C32" s="6">
        <f t="shared" si="1"/>
        <v>0</v>
      </c>
      <c r="D32" s="6">
        <v>388967.42</v>
      </c>
      <c r="E32" s="7">
        <f>IRR((C$3:C32,D32),-10%)</f>
        <v>0.0321444493500844</v>
      </c>
      <c r="G32" s="4">
        <v>2051</v>
      </c>
      <c r="H32" s="5">
        <v>30</v>
      </c>
      <c r="I32" s="6">
        <v>0</v>
      </c>
      <c r="J32" s="6">
        <v>460162.12</v>
      </c>
      <c r="K32" s="7">
        <f>IRR((I$3:I32,J32),-10%)</f>
        <v>0.0220117588965063</v>
      </c>
      <c r="M32" s="4">
        <v>2053</v>
      </c>
      <c r="N32" s="5">
        <v>30</v>
      </c>
      <c r="O32" s="6">
        <v>0</v>
      </c>
      <c r="P32" s="6">
        <v>279860</v>
      </c>
      <c r="Q32" s="7">
        <f>IRR((O$3:O32,P32),-10%)</f>
        <v>0.0274134064206866</v>
      </c>
    </row>
    <row r="33" spans="1:17">
      <c r="A33" s="4">
        <v>2053</v>
      </c>
      <c r="B33" s="5">
        <v>31</v>
      </c>
      <c r="C33" s="6">
        <f t="shared" si="1"/>
        <v>0</v>
      </c>
      <c r="D33" s="6">
        <v>402581.28</v>
      </c>
      <c r="E33" s="7">
        <f>IRR((C$3:C33,D33),-10%)</f>
        <v>0.0322709310132738</v>
      </c>
      <c r="G33" s="4">
        <v>2052</v>
      </c>
      <c r="H33" s="5">
        <v>31</v>
      </c>
      <c r="I33" s="6">
        <v>0</v>
      </c>
      <c r="J33" s="6">
        <v>472492.34</v>
      </c>
      <c r="K33" s="7">
        <f>IRR((I$3:I33,J33),-10%)</f>
        <v>0.0221760922055254</v>
      </c>
      <c r="M33" s="4">
        <v>2054</v>
      </c>
      <c r="N33" s="5">
        <v>31</v>
      </c>
      <c r="O33" s="6">
        <v>0</v>
      </c>
      <c r="P33" s="6">
        <v>289035</v>
      </c>
      <c r="Q33" s="7">
        <f>IRR((O$3:O33,P33),-10%)</f>
        <v>0.0276138796826053</v>
      </c>
    </row>
    <row r="34" spans="1:17">
      <c r="A34" s="4">
        <v>2054</v>
      </c>
      <c r="B34" s="5">
        <v>32</v>
      </c>
      <c r="C34" s="6">
        <f t="shared" si="1"/>
        <v>0</v>
      </c>
      <c r="D34" s="6">
        <v>416671.63</v>
      </c>
      <c r="E34" s="7">
        <f>IRR((C$3:C34,D34),-10%)</f>
        <v>0.0323866650721187</v>
      </c>
      <c r="G34" s="4">
        <v>2053</v>
      </c>
      <c r="H34" s="5">
        <v>32</v>
      </c>
      <c r="I34" s="6">
        <v>0</v>
      </c>
      <c r="J34" s="6">
        <v>485139.08</v>
      </c>
      <c r="K34" s="7">
        <f>IRR((I$3:I34,J34),-10%)</f>
        <v>0.0223285351198894</v>
      </c>
      <c r="M34" s="4">
        <v>2055</v>
      </c>
      <c r="N34" s="5">
        <v>32</v>
      </c>
      <c r="O34" s="6">
        <v>0</v>
      </c>
      <c r="P34" s="6">
        <v>298509</v>
      </c>
      <c r="Q34" s="7">
        <f>IRR((O$3:O34,P34),-10%)</f>
        <v>0.027799692328176</v>
      </c>
    </row>
    <row r="35" spans="1:17">
      <c r="A35" s="4">
        <v>2055</v>
      </c>
      <c r="B35" s="5">
        <v>33</v>
      </c>
      <c r="C35" s="6">
        <f t="shared" si="1"/>
        <v>0</v>
      </c>
      <c r="D35" s="6">
        <v>431255.13</v>
      </c>
      <c r="E35" s="7">
        <f>IRR((C$3:C35,D35),-10%)</f>
        <v>0.0324929660630482</v>
      </c>
      <c r="G35" s="4">
        <v>2054</v>
      </c>
      <c r="H35" s="5">
        <v>33</v>
      </c>
      <c r="I35" s="6">
        <v>0</v>
      </c>
      <c r="J35" s="6">
        <v>498108.18</v>
      </c>
      <c r="K35" s="7">
        <f>IRR((I$3:I35,J35),-10%)</f>
        <v>0.0224701088307702</v>
      </c>
      <c r="M35" s="4">
        <v>2056</v>
      </c>
      <c r="N35" s="5">
        <v>33</v>
      </c>
      <c r="O35" s="6">
        <v>0</v>
      </c>
      <c r="P35" s="6">
        <v>308290</v>
      </c>
      <c r="Q35" s="7">
        <f>IRR((O$3:O35,P35),-10%)</f>
        <v>0.0279721784588562</v>
      </c>
    </row>
    <row r="36" spans="1:17">
      <c r="A36" s="4">
        <v>2056</v>
      </c>
      <c r="B36" s="5">
        <v>34</v>
      </c>
      <c r="C36" s="6">
        <f t="shared" si="1"/>
        <v>0</v>
      </c>
      <c r="D36" s="6">
        <v>446349.06</v>
      </c>
      <c r="E36" s="7">
        <f>IRR((C$3:C36,D36),-10%)</f>
        <v>0.0325909454866475</v>
      </c>
      <c r="G36" s="4">
        <v>2055</v>
      </c>
      <c r="H36" s="5">
        <v>34</v>
      </c>
      <c r="I36" s="6">
        <v>0</v>
      </c>
      <c r="J36" s="6">
        <v>511405.28</v>
      </c>
      <c r="K36" s="7">
        <f>IRR((I$3:I36,J36),-10%)</f>
        <v>0.0226016962730959</v>
      </c>
      <c r="M36" s="4">
        <v>2057</v>
      </c>
      <c r="N36" s="5">
        <v>34</v>
      </c>
      <c r="O36" s="6">
        <v>0</v>
      </c>
      <c r="P36" s="6">
        <v>318387</v>
      </c>
      <c r="Q36" s="7">
        <f>IRR((O$3:O36,P36),-10%)</f>
        <v>0.0281325913618427</v>
      </c>
    </row>
    <row r="37" spans="1:17">
      <c r="A37" s="4">
        <v>2057</v>
      </c>
      <c r="B37" s="5">
        <v>35</v>
      </c>
      <c r="C37" s="6">
        <f t="shared" si="1"/>
        <v>0</v>
      </c>
      <c r="D37" s="6">
        <v>461971.28</v>
      </c>
      <c r="E37" s="7">
        <f>IRR((C$3:C37,D37),-10%)</f>
        <v>0.0326815445945181</v>
      </c>
      <c r="G37" s="4">
        <v>2056</v>
      </c>
      <c r="H37" s="5">
        <v>35</v>
      </c>
      <c r="I37" s="6">
        <v>0</v>
      </c>
      <c r="J37" s="6">
        <v>525035.78</v>
      </c>
      <c r="K37" s="7">
        <f>IRR((I$3:I37,J37),-10%)</f>
        <v>0.0227240625682659</v>
      </c>
      <c r="M37" s="4">
        <v>2058</v>
      </c>
      <c r="N37" s="5">
        <v>35</v>
      </c>
      <c r="O37" s="6">
        <v>0</v>
      </c>
      <c r="P37" s="6">
        <v>328807</v>
      </c>
      <c r="Q37" s="7">
        <f>IRR((O$3:O37,P37),-10%)</f>
        <v>0.0282817970904297</v>
      </c>
    </row>
    <row r="38" spans="1:17">
      <c r="A38" s="4">
        <v>2058</v>
      </c>
      <c r="B38" s="5">
        <v>36</v>
      </c>
      <c r="C38" s="6">
        <f t="shared" si="1"/>
        <v>0</v>
      </c>
      <c r="D38" s="6">
        <v>478140.27</v>
      </c>
      <c r="E38" s="7">
        <f>IRR((C$3:C38,D38),-10%)</f>
        <v>0.0327655672460134</v>
      </c>
      <c r="G38" s="4">
        <v>2057</v>
      </c>
      <c r="H38" s="5">
        <v>36</v>
      </c>
      <c r="I38" s="6">
        <v>0</v>
      </c>
      <c r="J38" s="6">
        <v>539004.81</v>
      </c>
      <c r="K38" s="7">
        <f>IRR((I$3:I38,J38),-10%)</f>
        <v>0.0228378726167915</v>
      </c>
      <c r="M38" s="4">
        <v>2059</v>
      </c>
      <c r="N38" s="5">
        <v>36</v>
      </c>
      <c r="O38" s="6">
        <v>0</v>
      </c>
      <c r="P38" s="6">
        <v>339560</v>
      </c>
      <c r="Q38" s="7">
        <f>IRR((O$3:O38,P38),-10%)</f>
        <v>0.028420846915109</v>
      </c>
    </row>
    <row r="39" spans="1:17">
      <c r="A39" s="4">
        <v>2059</v>
      </c>
      <c r="B39" s="5">
        <v>37</v>
      </c>
      <c r="C39" s="6">
        <f t="shared" si="1"/>
        <v>0</v>
      </c>
      <c r="D39" s="6">
        <v>494875.18</v>
      </c>
      <c r="E39" s="7">
        <f>IRR((C$3:C39,D39),-10%)</f>
        <v>0.0328437061789983</v>
      </c>
      <c r="G39" s="4">
        <v>2058</v>
      </c>
      <c r="H39" s="5">
        <v>37</v>
      </c>
      <c r="I39" s="6">
        <v>0</v>
      </c>
      <c r="J39" s="6">
        <v>553317.11</v>
      </c>
      <c r="K39" s="7">
        <f>IRR((I$3:I39,J39),-10%)</f>
        <v>0.022943701012214</v>
      </c>
      <c r="M39" s="4">
        <v>2060</v>
      </c>
      <c r="N39" s="5">
        <v>37</v>
      </c>
      <c r="O39" s="6">
        <v>0</v>
      </c>
      <c r="P39" s="6">
        <v>350652</v>
      </c>
      <c r="Q39" s="7">
        <f>IRR((O$3:O39,P39),-10%)</f>
        <v>0.0285502787104488</v>
      </c>
    </row>
    <row r="40" spans="1:17">
      <c r="A40" s="4">
        <v>2060</v>
      </c>
      <c r="B40" s="5">
        <v>38</v>
      </c>
      <c r="C40" s="6">
        <f t="shared" si="1"/>
        <v>0</v>
      </c>
      <c r="D40" s="6">
        <v>512195.82</v>
      </c>
      <c r="E40" s="7">
        <f>IRR((C$3:C40,D40),-10%)</f>
        <v>0.032916559369774</v>
      </c>
      <c r="G40" s="4">
        <v>2059</v>
      </c>
      <c r="H40" s="5">
        <v>38</v>
      </c>
      <c r="I40" s="6">
        <v>0</v>
      </c>
      <c r="J40" s="6">
        <v>567976.98</v>
      </c>
      <c r="K40" s="7">
        <f>IRR((I$3:I40,J40),-10%)</f>
        <v>0.0230420445793023</v>
      </c>
      <c r="M40" s="4">
        <v>2061</v>
      </c>
      <c r="N40" s="5">
        <v>38</v>
      </c>
      <c r="O40" s="6">
        <v>0</v>
      </c>
      <c r="P40" s="6">
        <v>362092</v>
      </c>
      <c r="Q40" s="7">
        <f>IRR((O$3:O40,P40),-10%)</f>
        <v>0.0286708407535086</v>
      </c>
    </row>
    <row r="41" spans="1:17">
      <c r="A41" s="4">
        <v>2061</v>
      </c>
      <c r="B41" s="5">
        <v>39</v>
      </c>
      <c r="C41" s="6">
        <f t="shared" si="1"/>
        <v>0</v>
      </c>
      <c r="D41" s="6">
        <v>530122.67</v>
      </c>
      <c r="E41" s="7">
        <f>IRR((C$3:C41,D41),-10%)</f>
        <v>0.0329846448519717</v>
      </c>
      <c r="G41" s="4">
        <v>2060</v>
      </c>
      <c r="H41" s="5">
        <v>39</v>
      </c>
      <c r="I41" s="6">
        <v>0</v>
      </c>
      <c r="J41" s="6">
        <v>582988.19</v>
      </c>
      <c r="K41" s="7">
        <f>IRR((I$3:I41,J41),-10%)</f>
        <v>0.0231333311376296</v>
      </c>
      <c r="M41" s="4">
        <v>2062</v>
      </c>
      <c r="N41" s="5">
        <v>39</v>
      </c>
      <c r="O41" s="6">
        <v>0</v>
      </c>
      <c r="P41" s="6">
        <v>373888</v>
      </c>
      <c r="Q41" s="7">
        <f>IRR((O$3:O41,P41),-10%)</f>
        <v>0.0287831054751917</v>
      </c>
    </row>
    <row r="42" spans="1:17">
      <c r="A42" s="4">
        <v>2062</v>
      </c>
      <c r="B42" s="5">
        <v>40</v>
      </c>
      <c r="C42" s="6">
        <f t="shared" si="1"/>
        <v>0</v>
      </c>
      <c r="D42" s="6">
        <v>548676.96</v>
      </c>
      <c r="E42" s="7">
        <f>IRR((C$3:C42,D42),-10%)</f>
        <v>0.0330484169878797</v>
      </c>
      <c r="G42" s="4">
        <v>2061</v>
      </c>
      <c r="H42" s="5">
        <v>40</v>
      </c>
      <c r="I42" s="6">
        <v>0</v>
      </c>
      <c r="J42" s="6">
        <v>598353.79</v>
      </c>
      <c r="K42" s="7">
        <f>IRR((I$3:I42,J42),-10%)</f>
        <v>0.0232179227953733</v>
      </c>
      <c r="M42" s="4">
        <v>2063</v>
      </c>
      <c r="N42" s="5">
        <v>40</v>
      </c>
      <c r="O42" s="6">
        <v>0</v>
      </c>
      <c r="P42" s="6">
        <v>386047</v>
      </c>
      <c r="Q42" s="7">
        <f>IRR((O$3:O42,P42),-10%)</f>
        <v>0.0288875081182274</v>
      </c>
    </row>
    <row r="43" spans="1:17">
      <c r="A43" s="4">
        <v>2063</v>
      </c>
      <c r="B43" s="5">
        <v>41</v>
      </c>
      <c r="C43" s="6">
        <f t="shared" si="1"/>
        <v>0</v>
      </c>
      <c r="D43" s="6">
        <v>567880.66</v>
      </c>
      <c r="E43" s="7">
        <f>IRR((C$3:C43,D43),-10%)</f>
        <v>0.0331082739813822</v>
      </c>
      <c r="G43" s="4">
        <v>2062</v>
      </c>
      <c r="H43" s="5">
        <v>41</v>
      </c>
      <c r="I43" s="6">
        <v>0</v>
      </c>
      <c r="J43" s="6">
        <v>614076.06</v>
      </c>
      <c r="K43" s="7">
        <f>IRR((I$3:I43,J43),-10%)</f>
        <v>0.0232961257308408</v>
      </c>
      <c r="M43" s="4">
        <v>2064</v>
      </c>
      <c r="N43" s="5">
        <v>41</v>
      </c>
      <c r="O43" s="6">
        <v>0</v>
      </c>
      <c r="P43" s="6">
        <v>398575</v>
      </c>
      <c r="Q43" s="7">
        <f>IRR((O$3:O43,P43),-10%)</f>
        <v>0.0289843777304082</v>
      </c>
    </row>
    <row r="44" spans="1:17">
      <c r="A44" s="4">
        <v>2064</v>
      </c>
      <c r="B44" s="5">
        <v>42</v>
      </c>
      <c r="C44" s="6">
        <f t="shared" si="1"/>
        <v>0</v>
      </c>
      <c r="D44" s="6">
        <v>587756.48</v>
      </c>
      <c r="E44" s="7">
        <f>IRR((C$3:C44,D44),-10%)</f>
        <v>0.0331645649368759</v>
      </c>
      <c r="G44" s="4">
        <v>2063</v>
      </c>
      <c r="H44" s="5">
        <v>42</v>
      </c>
      <c r="I44" s="6">
        <v>0</v>
      </c>
      <c r="J44" s="6">
        <v>630156.35</v>
      </c>
      <c r="K44" s="7">
        <f>IRR((I$3:I44,J44),-10%)</f>
        <v>0.0233681940417607</v>
      </c>
      <c r="M44" s="4">
        <v>2065</v>
      </c>
      <c r="N44" s="5">
        <v>42</v>
      </c>
      <c r="O44" s="6">
        <v>0</v>
      </c>
      <c r="P44" s="6">
        <v>411480</v>
      </c>
      <c r="Q44" s="7">
        <f>IRR((O$3:O44,P44),-10%)</f>
        <v>0.0290741608198775</v>
      </c>
    </row>
    <row r="45" spans="1:17">
      <c r="A45" s="4">
        <v>2065</v>
      </c>
      <c r="B45" s="5">
        <v>43</v>
      </c>
      <c r="C45" s="6">
        <f t="shared" si="1"/>
        <v>0</v>
      </c>
      <c r="D45" s="6">
        <v>608327.96</v>
      </c>
      <c r="E45" s="7">
        <f>IRR((C$3:C45,D45),-10%)</f>
        <v>0.0332176003290399</v>
      </c>
      <c r="G45" s="4">
        <v>2064</v>
      </c>
      <c r="H45" s="5">
        <v>43</v>
      </c>
      <c r="I45" s="6">
        <v>0</v>
      </c>
      <c r="J45" s="6">
        <v>646594.94</v>
      </c>
      <c r="K45" s="7">
        <f>IRR((I$3:I45,J45),-10%)</f>
        <v>0.0234343344463623</v>
      </c>
      <c r="M45" s="4">
        <v>2066</v>
      </c>
      <c r="N45" s="5">
        <v>43</v>
      </c>
      <c r="O45" s="6">
        <v>0</v>
      </c>
      <c r="P45" s="6">
        <v>424769</v>
      </c>
      <c r="Q45" s="7">
        <f>IRR((O$3:O45,P45),-10%)</f>
        <v>0.0291571976829543</v>
      </c>
    </row>
    <row r="46" spans="1:17">
      <c r="A46" s="4">
        <v>2066</v>
      </c>
      <c r="B46" s="5">
        <v>44</v>
      </c>
      <c r="C46" s="6">
        <f t="shared" si="1"/>
        <v>0</v>
      </c>
      <c r="D46" s="6">
        <v>629619.43</v>
      </c>
      <c r="E46" s="7">
        <f>IRR((C$3:C46,D46),-10%)</f>
        <v>0.0332676540276786</v>
      </c>
      <c r="G46" s="4">
        <v>2065</v>
      </c>
      <c r="H46" s="5">
        <v>44</v>
      </c>
      <c r="I46" s="6">
        <v>0</v>
      </c>
      <c r="J46" s="6">
        <v>663391.1</v>
      </c>
      <c r="K46" s="7">
        <f>IRR((I$3:I46,J46),-10%)</f>
        <v>0.0234947180882554</v>
      </c>
      <c r="M46" s="4">
        <v>2067</v>
      </c>
      <c r="N46" s="5">
        <v>44</v>
      </c>
      <c r="O46" s="6">
        <v>0</v>
      </c>
      <c r="P46" s="6">
        <v>438447</v>
      </c>
      <c r="Q46" s="7">
        <f>IRR((O$3:O46,P46),-10%)</f>
        <v>0.0292336868030916</v>
      </c>
    </row>
    <row r="47" spans="1:17">
      <c r="A47" s="4">
        <v>2067</v>
      </c>
      <c r="B47" s="5">
        <v>45</v>
      </c>
      <c r="C47" s="6">
        <f t="shared" si="1"/>
        <v>0</v>
      </c>
      <c r="D47" s="6">
        <v>651656.11</v>
      </c>
      <c r="E47" s="7">
        <f>IRR((C$3:C47,D47),-10%)</f>
        <v>0.0333149716592787</v>
      </c>
      <c r="G47" s="4">
        <v>2066</v>
      </c>
      <c r="H47" s="5">
        <v>45</v>
      </c>
      <c r="I47" s="6">
        <v>0</v>
      </c>
      <c r="J47" s="6">
        <v>680543.08</v>
      </c>
      <c r="K47" s="7">
        <f>IRR((I$3:I47,J47),-10%)</f>
        <v>0.0235494875340152</v>
      </c>
      <c r="M47" s="4">
        <v>2068</v>
      </c>
      <c r="N47" s="5">
        <v>45</v>
      </c>
      <c r="O47" s="6">
        <v>0</v>
      </c>
      <c r="P47" s="6">
        <v>452521</v>
      </c>
      <c r="Q47" s="7">
        <f>IRR((O$3:O47,P47),-10%)</f>
        <v>0.0293039433728923</v>
      </c>
    </row>
    <row r="48" spans="1:17">
      <c r="A48" s="4">
        <v>2068</v>
      </c>
      <c r="B48" s="5">
        <v>46</v>
      </c>
      <c r="C48" s="6">
        <f t="shared" si="1"/>
        <v>0</v>
      </c>
      <c r="D48" s="6">
        <v>674464.08</v>
      </c>
      <c r="E48" s="7">
        <f>IRR((C$3:C48,D48),-10%)</f>
        <v>0.0333597716557699</v>
      </c>
      <c r="G48" s="4">
        <v>2067</v>
      </c>
      <c r="H48" s="5">
        <v>46</v>
      </c>
      <c r="I48" s="6">
        <v>0</v>
      </c>
      <c r="J48" s="6">
        <v>698048.44</v>
      </c>
      <c r="K48" s="7">
        <f>IRR((I$3:I48,J48),-10%)</f>
        <v>0.0235987738509824</v>
      </c>
      <c r="M48" s="4">
        <v>2069</v>
      </c>
      <c r="N48" s="5">
        <v>46</v>
      </c>
      <c r="O48" s="6">
        <v>0</v>
      </c>
      <c r="P48" s="6">
        <v>466994</v>
      </c>
      <c r="Q48" s="7">
        <f>IRR((O$3:O48,P48),-10%)</f>
        <v>0.0293680502375524</v>
      </c>
    </row>
    <row r="49" spans="1:17">
      <c r="A49" s="4">
        <v>2069</v>
      </c>
      <c r="B49" s="5">
        <v>47</v>
      </c>
      <c r="C49" s="6">
        <f t="shared" si="1"/>
        <v>0</v>
      </c>
      <c r="D49" s="6">
        <v>698070.32</v>
      </c>
      <c r="E49" s="7">
        <f>IRR((C$3:C49,D49),-10%)</f>
        <v>0.0334022492932526</v>
      </c>
      <c r="G49" s="4">
        <v>2068</v>
      </c>
      <c r="H49" s="5">
        <v>47</v>
      </c>
      <c r="I49" s="6">
        <v>0</v>
      </c>
      <c r="J49" s="6">
        <v>715904.33</v>
      </c>
      <c r="K49" s="7">
        <f>IRR((I$3:I49,J49),-10%)</f>
        <v>0.0236427079054216</v>
      </c>
      <c r="M49" s="4">
        <v>2070</v>
      </c>
      <c r="N49" s="5">
        <v>47</v>
      </c>
      <c r="O49" s="6">
        <v>0</v>
      </c>
      <c r="P49" s="6">
        <v>481869</v>
      </c>
      <c r="Q49" s="7">
        <f>IRR((O$3:O49,P49),-10%)</f>
        <v>0.0294261166755367</v>
      </c>
    </row>
    <row r="50" spans="1:17">
      <c r="A50" s="4">
        <v>2070</v>
      </c>
      <c r="B50" s="5">
        <v>48</v>
      </c>
      <c r="C50" s="6">
        <f t="shared" si="1"/>
        <v>0</v>
      </c>
      <c r="D50" s="6">
        <v>722502.78</v>
      </c>
      <c r="E50" s="7">
        <f>IRR((C$3:C50,D50),-10%)</f>
        <v>0.033442581077632</v>
      </c>
      <c r="G50" s="4">
        <v>2069</v>
      </c>
      <c r="H50" s="5">
        <v>48</v>
      </c>
      <c r="I50" s="6">
        <v>0</v>
      </c>
      <c r="J50" s="6">
        <v>734108.01</v>
      </c>
      <c r="K50" s="7">
        <f>IRR((I$3:I50,J50),-10%)</f>
        <v>0.023681435998129</v>
      </c>
      <c r="M50" s="4">
        <v>2071</v>
      </c>
      <c r="N50" s="5">
        <v>48</v>
      </c>
      <c r="O50" s="6">
        <v>0</v>
      </c>
      <c r="P50" s="6">
        <v>497151</v>
      </c>
      <c r="Q50" s="7">
        <f>IRR((O$3:O50,P50),-10%)</f>
        <v>0.0294783677396391</v>
      </c>
    </row>
    <row r="51" spans="1:17">
      <c r="A51" s="4">
        <v>2071</v>
      </c>
      <c r="B51" s="5">
        <v>49</v>
      </c>
      <c r="C51" s="6">
        <f t="shared" si="1"/>
        <v>0</v>
      </c>
      <c r="D51" s="6">
        <v>747790.38</v>
      </c>
      <c r="E51" s="7">
        <f>IRR((C$3:C51,D51),-10%)</f>
        <v>0.0334809257791335</v>
      </c>
      <c r="G51" s="4">
        <v>2070</v>
      </c>
      <c r="H51" s="5">
        <v>49</v>
      </c>
      <c r="I51" s="6">
        <v>0</v>
      </c>
      <c r="J51" s="6">
        <v>752657.12</v>
      </c>
      <c r="K51" s="7">
        <f>IRR((I$3:I51,J51),-10%)</f>
        <v>0.0237151239496709</v>
      </c>
      <c r="M51" s="4">
        <v>2072</v>
      </c>
      <c r="N51" s="5">
        <v>49</v>
      </c>
      <c r="O51" s="6">
        <v>0</v>
      </c>
      <c r="P51" s="6">
        <v>512838</v>
      </c>
      <c r="Q51" s="7">
        <f>IRR((O$3:O51,P51),-10%)</f>
        <v>0.0295247111726069</v>
      </c>
    </row>
    <row r="52" spans="1:17">
      <c r="A52" s="4">
        <v>2072</v>
      </c>
      <c r="B52" s="5">
        <v>50</v>
      </c>
      <c r="C52" s="6">
        <f t="shared" si="1"/>
        <v>0</v>
      </c>
      <c r="D52" s="6">
        <v>773963.04</v>
      </c>
      <c r="E52" s="7">
        <f>IRR((C$3:C52,D52),-10%)</f>
        <v>0.0335174264810441</v>
      </c>
      <c r="G52" s="4">
        <v>2071</v>
      </c>
      <c r="H52" s="5">
        <v>50</v>
      </c>
      <c r="I52" s="6">
        <v>0</v>
      </c>
      <c r="J52" s="6">
        <v>771549.74</v>
      </c>
      <c r="K52" s="7">
        <f>IRR((I$3:I52,J52),-10%)</f>
        <v>0.0237439538822004</v>
      </c>
      <c r="M52" s="4">
        <v>2073</v>
      </c>
      <c r="N52" s="5">
        <v>50</v>
      </c>
      <c r="O52" s="6">
        <v>0</v>
      </c>
      <c r="P52" s="6">
        <v>528932</v>
      </c>
      <c r="Q52" s="7">
        <f>IRR((O$3:O52,P52),-10%)</f>
        <v>0.0295652858714792</v>
      </c>
    </row>
    <row r="53" spans="1:17">
      <c r="A53" s="4">
        <v>2073</v>
      </c>
      <c r="B53" s="5">
        <v>51</v>
      </c>
      <c r="C53" s="6">
        <f t="shared" si="1"/>
        <v>0</v>
      </c>
      <c r="D53" s="6">
        <v>801051.75</v>
      </c>
      <c r="E53" s="7">
        <f>IRR((C$3:C53,D53),-10%)</f>
        <v>0.0335522135368742</v>
      </c>
      <c r="G53" s="4">
        <v>2072</v>
      </c>
      <c r="H53" s="5">
        <v>51</v>
      </c>
      <c r="I53" s="6">
        <v>0</v>
      </c>
      <c r="J53" s="6">
        <v>790784.09</v>
      </c>
      <c r="K53" s="7">
        <f>IRR((I$3:I53,J53),-10%)</f>
        <v>0.0237681118626709</v>
      </c>
      <c r="M53" s="4">
        <v>2074</v>
      </c>
      <c r="N53" s="5">
        <v>51</v>
      </c>
      <c r="O53" s="6">
        <v>0</v>
      </c>
      <c r="P53" s="6">
        <v>545428</v>
      </c>
      <c r="Q53" s="7">
        <f>IRR((O$3:O53,P53),-10%)</f>
        <v>0.0295999635086852</v>
      </c>
    </row>
    <row r="54" spans="1:17">
      <c r="A54" s="4">
        <v>2074</v>
      </c>
      <c r="B54" s="5">
        <v>52</v>
      </c>
      <c r="C54" s="6">
        <f t="shared" si="1"/>
        <v>0</v>
      </c>
      <c r="D54" s="6">
        <v>829088.56</v>
      </c>
      <c r="E54" s="7">
        <f>IRR((C$3:C54,D54),-10%)</f>
        <v>0.0335854045825186</v>
      </c>
      <c r="G54" s="4">
        <v>2073</v>
      </c>
      <c r="H54" s="5">
        <v>52</v>
      </c>
      <c r="I54" s="6">
        <v>0</v>
      </c>
      <c r="J54" s="6">
        <v>810357.82</v>
      </c>
      <c r="K54" s="7">
        <f>IRR((I$3:I54,J54),-10%)</f>
        <v>0.0237877680124361</v>
      </c>
      <c r="M54" s="4">
        <v>2075</v>
      </c>
      <c r="N54" s="5">
        <v>52</v>
      </c>
      <c r="O54" s="6">
        <v>0</v>
      </c>
      <c r="P54" s="6">
        <v>562325</v>
      </c>
      <c r="Q54" s="7">
        <f>IRR((O$3:O54,P54),-10%)</f>
        <v>0.029628837855842</v>
      </c>
    </row>
    <row r="55" spans="1:17">
      <c r="A55" s="4">
        <v>2075</v>
      </c>
      <c r="B55" s="5">
        <v>53</v>
      </c>
      <c r="C55" s="6">
        <f t="shared" si="1"/>
        <v>0</v>
      </c>
      <c r="D55" s="6">
        <v>858106.66</v>
      </c>
      <c r="E55" s="7">
        <f>IRR((C$3:C55,D55),-10%)</f>
        <v>0.0336171072188585</v>
      </c>
      <c r="G55" s="4">
        <v>2074</v>
      </c>
      <c r="H55" s="5">
        <v>53</v>
      </c>
      <c r="I55" s="6">
        <v>0</v>
      </c>
      <c r="J55" s="6">
        <v>830267</v>
      </c>
      <c r="K55" s="7">
        <f>IRR((I$3:I55,J55),-10%)</f>
        <v>0.0238030543453391</v>
      </c>
      <c r="M55" s="4">
        <v>2076</v>
      </c>
      <c r="N55" s="5">
        <v>53</v>
      </c>
      <c r="O55" s="6">
        <v>0</v>
      </c>
      <c r="P55" s="6">
        <v>579616</v>
      </c>
      <c r="Q55" s="7">
        <f>IRR((O$3:O55,P55),-10%)</f>
        <v>0.0296518102197347</v>
      </c>
    </row>
    <row r="56" spans="1:17">
      <c r="A56" s="4">
        <v>2076</v>
      </c>
      <c r="B56" s="5">
        <v>54</v>
      </c>
      <c r="C56" s="6">
        <f t="shared" si="1"/>
        <v>0</v>
      </c>
      <c r="D56" s="6">
        <v>888140.39</v>
      </c>
      <c r="E56" s="7">
        <f>IRR((C$3:C56,D56),-10%)</f>
        <v>0.0336474192831866</v>
      </c>
      <c r="G56" s="4">
        <v>2075</v>
      </c>
      <c r="H56" s="5">
        <v>54</v>
      </c>
      <c r="I56" s="6">
        <v>0</v>
      </c>
      <c r="J56" s="6">
        <v>850504.97</v>
      </c>
      <c r="K56" s="7">
        <f>IRR((I$3:I56,J56),-10%)</f>
        <v>0.0238140452487059</v>
      </c>
      <c r="M56" s="4">
        <v>2077</v>
      </c>
      <c r="N56" s="5">
        <v>54</v>
      </c>
      <c r="O56" s="6">
        <v>0</v>
      </c>
      <c r="P56" s="6">
        <v>597297</v>
      </c>
      <c r="Q56" s="7">
        <f>IRR((O$3:O56,P56),-10%)</f>
        <v>0.0296689495284279</v>
      </c>
    </row>
    <row r="57" spans="1:17">
      <c r="A57" s="4">
        <v>2077</v>
      </c>
      <c r="B57" s="5">
        <v>55</v>
      </c>
      <c r="C57" s="6">
        <f t="shared" si="1"/>
        <v>0</v>
      </c>
      <c r="D57" s="6">
        <v>919225.31</v>
      </c>
      <c r="E57" s="7">
        <f>IRR((C$3:C57,D57),-10%)</f>
        <v>0.0336764306568036</v>
      </c>
      <c r="G57" s="4">
        <v>2076</v>
      </c>
      <c r="H57" s="5">
        <v>55</v>
      </c>
      <c r="I57" s="6">
        <v>0</v>
      </c>
      <c r="J57" s="6">
        <v>871061.23</v>
      </c>
      <c r="K57" s="7">
        <f>IRR((I$3:I57,J57),-10%)</f>
        <v>0.0238207444103997</v>
      </c>
      <c r="M57" s="4">
        <v>2078</v>
      </c>
      <c r="N57" s="5">
        <v>55</v>
      </c>
      <c r="O57" s="6">
        <v>0</v>
      </c>
      <c r="P57" s="6">
        <v>615360</v>
      </c>
      <c r="Q57" s="7">
        <f>IRR((O$3:O57,P57),-10%)</f>
        <v>0.0296802250738284</v>
      </c>
    </row>
    <row r="58" spans="1:17">
      <c r="A58" s="4">
        <v>2078</v>
      </c>
      <c r="B58" s="5">
        <v>56</v>
      </c>
      <c r="C58" s="6">
        <f t="shared" si="1"/>
        <v>0</v>
      </c>
      <c r="D58" s="6">
        <v>951398.19</v>
      </c>
      <c r="E58" s="7">
        <f>IRR((C$3:C58,D58),-10%)</f>
        <v>0.033704222840155</v>
      </c>
      <c r="G58" s="4">
        <v>2077</v>
      </c>
      <c r="H58" s="5">
        <v>56</v>
      </c>
      <c r="I58" s="6">
        <v>0</v>
      </c>
      <c r="J58" s="6">
        <v>891920.71</v>
      </c>
      <c r="K58" s="7">
        <f>IRR((I$3:I58,J58),-10%)</f>
        <v>0.0238230840525062</v>
      </c>
      <c r="M58" s="4">
        <v>2079</v>
      </c>
      <c r="N58" s="5">
        <v>56</v>
      </c>
      <c r="O58" s="6">
        <v>0</v>
      </c>
      <c r="P58" s="6">
        <v>633800</v>
      </c>
      <c r="Q58" s="7">
        <f>IRR((O$3:O58,P58),-10%)</f>
        <v>0.0296857513447244</v>
      </c>
    </row>
    <row r="59" spans="1:17">
      <c r="A59" s="4">
        <v>2079</v>
      </c>
      <c r="B59" s="5">
        <v>57</v>
      </c>
      <c r="C59" s="6">
        <f t="shared" si="1"/>
        <v>0</v>
      </c>
      <c r="D59" s="6">
        <v>984697.13</v>
      </c>
      <c r="E59" s="7">
        <f>IRR((C$3:C59,D59),-10%)</f>
        <v>0.0337308716002043</v>
      </c>
      <c r="G59" s="4">
        <v>2078</v>
      </c>
      <c r="H59" s="5">
        <v>57</v>
      </c>
      <c r="I59" s="6">
        <v>0</v>
      </c>
      <c r="J59" s="6">
        <v>913063.47</v>
      </c>
      <c r="K59" s="7">
        <f>IRR((I$3:I59,J59),-10%)</f>
        <v>0.0238209342941327</v>
      </c>
      <c r="M59" s="4">
        <v>2080</v>
      </c>
      <c r="N59" s="5">
        <v>57</v>
      </c>
      <c r="O59" s="6">
        <v>0</v>
      </c>
      <c r="P59" s="6">
        <v>652609</v>
      </c>
      <c r="Q59" s="7">
        <f>IRR((O$3:O59,P59),-10%)</f>
        <v>0.0296855769591824</v>
      </c>
    </row>
    <row r="60" spans="1:17">
      <c r="A60" s="4">
        <v>2080</v>
      </c>
      <c r="B60" s="5">
        <v>58</v>
      </c>
      <c r="C60" s="6">
        <f t="shared" si="1"/>
        <v>0</v>
      </c>
      <c r="D60" s="6">
        <v>1019161.53</v>
      </c>
      <c r="E60" s="7">
        <f>IRR((C$3:C60,D60),-10%)</f>
        <v>0.033756445857114</v>
      </c>
      <c r="G60" s="4">
        <v>2079</v>
      </c>
      <c r="H60" s="5">
        <v>58</v>
      </c>
      <c r="I60" s="6">
        <v>0</v>
      </c>
      <c r="J60" s="6">
        <v>934464.87</v>
      </c>
      <c r="K60" s="7">
        <f>IRR((I$3:I60,J60),-10%)</f>
        <v>0.0238141205764029</v>
      </c>
      <c r="M60" s="4">
        <v>2081</v>
      </c>
      <c r="N60" s="5">
        <v>58</v>
      </c>
      <c r="O60" s="6">
        <v>0</v>
      </c>
      <c r="P60" s="6">
        <v>671781</v>
      </c>
      <c r="Q60" s="7">
        <f>IRR((O$3:O60,P60),-10%)</f>
        <v>0.0296798428940817</v>
      </c>
    </row>
    <row r="61" spans="1:17">
      <c r="A61" s="4">
        <v>2081</v>
      </c>
      <c r="B61" s="5">
        <v>59</v>
      </c>
      <c r="C61" s="6">
        <f t="shared" si="1"/>
        <v>0</v>
      </c>
      <c r="D61" s="6">
        <v>1054832.18</v>
      </c>
      <c r="E61" s="7">
        <f>IRR((C$3:C61,D61),-10%)</f>
        <v>0.0337810093173403</v>
      </c>
      <c r="G61" s="4">
        <v>2080</v>
      </c>
      <c r="H61" s="5">
        <v>59</v>
      </c>
      <c r="I61" s="6">
        <v>0</v>
      </c>
      <c r="J61" s="6">
        <v>956096.42</v>
      </c>
      <c r="K61" s="7">
        <f>IRR((I$3:I61,J61),-10%)</f>
        <v>0.0238024506135914</v>
      </c>
      <c r="M61" s="4">
        <v>2082</v>
      </c>
      <c r="N61" s="5">
        <v>59</v>
      </c>
      <c r="O61" s="6">
        <v>0</v>
      </c>
      <c r="P61" s="6">
        <v>691309</v>
      </c>
      <c r="Q61" s="7">
        <f>IRR((O$3:O61,P61),-10%)</f>
        <v>0.0296686807902626</v>
      </c>
    </row>
    <row r="62" spans="1:17">
      <c r="A62" s="4">
        <v>2082</v>
      </c>
      <c r="B62" s="5">
        <v>60</v>
      </c>
      <c r="C62" s="6">
        <f t="shared" si="1"/>
        <v>0</v>
      </c>
      <c r="D62" s="6">
        <v>1091751.31</v>
      </c>
      <c r="E62" s="7">
        <f>IRR((C$3:C62,D62),-10%)</f>
        <v>0.03380462097425</v>
      </c>
      <c r="G62" s="4">
        <v>2081</v>
      </c>
      <c r="H62" s="5">
        <v>60</v>
      </c>
      <c r="I62" s="6">
        <v>0</v>
      </c>
      <c r="J62" s="6">
        <v>977926.91</v>
      </c>
      <c r="K62" s="7">
        <f>IRR((I$3:I62,J62),-10%)</f>
        <v>0.0237857406371176</v>
      </c>
      <c r="M62" s="4">
        <v>2083</v>
      </c>
      <c r="N62" s="5">
        <v>60</v>
      </c>
      <c r="O62" s="6">
        <v>0</v>
      </c>
      <c r="P62" s="6">
        <v>711187</v>
      </c>
      <c r="Q62" s="7">
        <f>IRR((O$3:O62,P62),-10%)</f>
        <v>0.0296522667120125</v>
      </c>
    </row>
    <row r="63" spans="1:17">
      <c r="A63" s="4">
        <v>2083</v>
      </c>
      <c r="B63" s="5">
        <v>61</v>
      </c>
      <c r="C63" s="6">
        <f t="shared" si="1"/>
        <v>0</v>
      </c>
      <c r="D63" s="6">
        <v>1129962.6</v>
      </c>
      <c r="E63" s="7">
        <f>IRR((C$3:C63,D63),-10%)</f>
        <v>0.0338273348236586</v>
      </c>
      <c r="G63" s="4">
        <v>2082</v>
      </c>
      <c r="H63" s="5">
        <v>61</v>
      </c>
      <c r="I63" s="6">
        <v>0</v>
      </c>
      <c r="J63" s="6">
        <v>999923.69</v>
      </c>
      <c r="K63" s="7">
        <f>IRR((I$3:I63,J63),-10%)</f>
        <v>0.0237638382948115</v>
      </c>
      <c r="M63" s="4">
        <v>2084</v>
      </c>
      <c r="N63" s="5">
        <v>61</v>
      </c>
      <c r="O63" s="6">
        <v>0</v>
      </c>
      <c r="P63" s="6">
        <v>731407</v>
      </c>
      <c r="Q63" s="7">
        <f>IRR((O$3:O63,P63),-10%)</f>
        <v>0.02963073650938</v>
      </c>
    </row>
    <row r="64" spans="1:17">
      <c r="A64" s="4">
        <v>2084</v>
      </c>
      <c r="B64" s="5">
        <v>62</v>
      </c>
      <c r="C64" s="6">
        <f t="shared" si="1"/>
        <v>0</v>
      </c>
      <c r="D64" s="6">
        <v>1169511.3</v>
      </c>
      <c r="E64" s="7">
        <f>IRR((C$3:C64,D64),-10%)</f>
        <v>0.0338492015386551</v>
      </c>
      <c r="G64" s="4">
        <v>2083</v>
      </c>
      <c r="H64" s="5">
        <v>62</v>
      </c>
      <c r="I64" s="6">
        <v>0</v>
      </c>
      <c r="J64" s="6">
        <v>1022053.83</v>
      </c>
      <c r="K64" s="7">
        <f>IRR((I$3:I64,J64),-10%)</f>
        <v>0.0237366380731134</v>
      </c>
      <c r="M64" s="4">
        <v>2085</v>
      </c>
      <c r="N64" s="5">
        <v>62</v>
      </c>
      <c r="O64" s="6">
        <v>0</v>
      </c>
      <c r="P64" s="6">
        <v>751965</v>
      </c>
      <c r="Q64" s="7">
        <f>IRR((O$3:O64,P64),-10%)</f>
        <v>0.0296043360354228</v>
      </c>
    </row>
    <row r="65" spans="1:17">
      <c r="A65" s="4">
        <v>2085</v>
      </c>
      <c r="B65" s="5">
        <v>63</v>
      </c>
      <c r="C65" s="6">
        <f t="shared" si="1"/>
        <v>0</v>
      </c>
      <c r="D65" s="6">
        <v>1210444.19</v>
      </c>
      <c r="E65" s="7">
        <f>IRR((C$3:C65,D65),-10%)</f>
        <v>0.0338702671967055</v>
      </c>
      <c r="G65" s="4">
        <v>2084</v>
      </c>
      <c r="H65" s="5">
        <v>63</v>
      </c>
      <c r="I65" s="6">
        <v>0</v>
      </c>
      <c r="J65" s="6">
        <v>1044284.93</v>
      </c>
      <c r="K65" s="7">
        <f>IRR((I$3:I65,J65),-10%)</f>
        <v>0.023704087095014</v>
      </c>
      <c r="M65" s="4">
        <v>2086</v>
      </c>
      <c r="N65" s="5">
        <v>63</v>
      </c>
      <c r="O65" s="6">
        <v>0</v>
      </c>
      <c r="P65" s="6">
        <v>772858</v>
      </c>
      <c r="Q65" s="7">
        <f>IRR((O$3:O65,P65),-10%)</f>
        <v>0.0295733286471798</v>
      </c>
    </row>
    <row r="66" spans="1:17">
      <c r="A66" s="4">
        <v>2086</v>
      </c>
      <c r="B66" s="5">
        <v>64</v>
      </c>
      <c r="C66" s="6">
        <f t="shared" si="1"/>
        <v>0</v>
      </c>
      <c r="D66" s="6">
        <v>1252809.74</v>
      </c>
      <c r="E66" s="7">
        <f>IRR((C$3:C66,D66),-10%)</f>
        <v>0.0338905753875478</v>
      </c>
      <c r="G66" s="4">
        <v>2085</v>
      </c>
      <c r="H66" s="5">
        <v>64</v>
      </c>
      <c r="I66" s="6">
        <v>0</v>
      </c>
      <c r="J66" s="6">
        <v>1066585.76</v>
      </c>
      <c r="K66" s="7">
        <f>IRR((I$3:I66,J66),-10%)</f>
        <v>0.0236661863109728</v>
      </c>
      <c r="M66" s="4">
        <v>2087</v>
      </c>
      <c r="N66" s="5">
        <v>64</v>
      </c>
      <c r="O66" s="6">
        <v>0</v>
      </c>
      <c r="P66" s="6">
        <v>789916</v>
      </c>
      <c r="Q66" s="7">
        <f>IRR((O$3:O66,P66),-10%)</f>
        <v>0.0294472981972713</v>
      </c>
    </row>
    <row r="67" spans="1:17">
      <c r="A67" s="4">
        <v>2087</v>
      </c>
      <c r="B67" s="5">
        <v>65</v>
      </c>
      <c r="C67" s="6">
        <f t="shared" si="1"/>
        <v>0</v>
      </c>
      <c r="D67" s="6">
        <v>1296658.08</v>
      </c>
      <c r="E67" s="7">
        <f>IRR((C$3:C67,D67),-10%)</f>
        <v>0.0339101660702938</v>
      </c>
      <c r="G67" s="4">
        <v>2086</v>
      </c>
      <c r="H67" s="5">
        <v>65</v>
      </c>
      <c r="I67" s="6">
        <v>0</v>
      </c>
      <c r="J67" s="6">
        <v>1088926.68</v>
      </c>
      <c r="K67" s="7">
        <f>IRR((I$3:I67,J67),-10%)</f>
        <v>0.0236229874373093</v>
      </c>
      <c r="M67" s="4"/>
      <c r="N67" s="5"/>
      <c r="O67" s="6"/>
      <c r="P67" s="6"/>
      <c r="Q67" s="7"/>
    </row>
    <row r="68" spans="1:17">
      <c r="A68" s="4">
        <v>2088</v>
      </c>
      <c r="B68" s="5">
        <v>66</v>
      </c>
      <c r="C68" s="6">
        <f t="shared" si="1"/>
        <v>0</v>
      </c>
      <c r="D68" s="6">
        <v>1342041.11</v>
      </c>
      <c r="E68" s="7">
        <f>IRR((C$3:C68,D68),-10%)</f>
        <v>0.0339290766534981</v>
      </c>
      <c r="G68" s="4">
        <v>2087</v>
      </c>
      <c r="H68" s="5">
        <v>66</v>
      </c>
      <c r="I68" s="6">
        <v>0</v>
      </c>
      <c r="J68" s="6">
        <v>1103529.28</v>
      </c>
      <c r="K68" s="7">
        <f>IRR((I$3:I68,J68),-10%)</f>
        <v>0.0234627385043464</v>
      </c>
      <c r="M68" s="4"/>
      <c r="N68" s="5"/>
      <c r="O68" s="6"/>
      <c r="P68" s="6"/>
      <c r="Q68" s="7"/>
    </row>
    <row r="69" spans="1:17">
      <c r="A69" s="4">
        <v>2089</v>
      </c>
      <c r="B69" s="5">
        <v>67</v>
      </c>
      <c r="C69" s="6">
        <f t="shared" si="1"/>
        <v>0</v>
      </c>
      <c r="D69" s="6">
        <v>1389012.55</v>
      </c>
      <c r="E69" s="7">
        <f>IRR((C$3:C69,D69),-10%)</f>
        <v>0.0339473420324397</v>
      </c>
      <c r="G69" s="4"/>
      <c r="H69" s="5"/>
      <c r="I69" s="6"/>
      <c r="J69" s="6"/>
      <c r="K69" s="7"/>
      <c r="M69" s="4"/>
      <c r="N69" s="5"/>
      <c r="O69" s="6"/>
      <c r="P69" s="6"/>
      <c r="Q69" s="7"/>
    </row>
    <row r="70" spans="1:17">
      <c r="A70" s="4">
        <v>2090</v>
      </c>
      <c r="B70" s="5">
        <v>68</v>
      </c>
      <c r="C70" s="6">
        <f t="shared" si="1"/>
        <v>0</v>
      </c>
      <c r="D70" s="6">
        <v>1437627.99</v>
      </c>
      <c r="E70" s="7">
        <f>IRR((C$3:C70,D70),-10%)</f>
        <v>0.0339649946290936</v>
      </c>
      <c r="G70" s="4"/>
      <c r="H70" s="5"/>
      <c r="I70" s="6"/>
      <c r="J70" s="6"/>
      <c r="K70" s="7"/>
      <c r="M70" s="4"/>
      <c r="N70" s="5"/>
      <c r="O70" s="6"/>
      <c r="P70" s="6"/>
      <c r="Q70" s="7"/>
    </row>
    <row r="71" spans="1:17">
      <c r="A71" s="4">
        <v>2091</v>
      </c>
      <c r="B71" s="5">
        <v>69</v>
      </c>
      <c r="C71" s="6">
        <f t="shared" si="1"/>
        <v>0</v>
      </c>
      <c r="D71" s="6">
        <v>1487944.97</v>
      </c>
      <c r="E71" s="7">
        <f>IRR((C$3:C71,D71),-10%)</f>
        <v>0.033982064780012</v>
      </c>
      <c r="G71" s="4"/>
      <c r="H71" s="5"/>
      <c r="I71" s="6"/>
      <c r="J71" s="6"/>
      <c r="K71" s="7"/>
      <c r="M71" s="4"/>
      <c r="N71" s="5"/>
      <c r="O71" s="6"/>
      <c r="P71" s="6"/>
      <c r="Q71" s="7"/>
    </row>
    <row r="72" spans="1:17">
      <c r="A72" s="4">
        <v>2092</v>
      </c>
      <c r="B72" s="5">
        <v>70</v>
      </c>
      <c r="C72" s="6">
        <f t="shared" si="1"/>
        <v>0</v>
      </c>
      <c r="D72" s="6">
        <v>1540023.04</v>
      </c>
      <c r="E72" s="7">
        <f>IRR((C$3:C72,D72),-10%)</f>
        <v>0.0339985808087864</v>
      </c>
      <c r="G72" s="4"/>
      <c r="H72" s="5"/>
      <c r="I72" s="6"/>
      <c r="J72" s="6"/>
      <c r="K72" s="7"/>
      <c r="M72" s="4"/>
      <c r="N72" s="5"/>
      <c r="O72" s="6"/>
      <c r="P72" s="6"/>
      <c r="Q72" s="7"/>
    </row>
    <row r="73" spans="1:17">
      <c r="A73" s="4">
        <v>2093</v>
      </c>
      <c r="B73" s="5">
        <v>71</v>
      </c>
      <c r="C73" s="6">
        <f t="shared" si="1"/>
        <v>0</v>
      </c>
      <c r="D73" s="6">
        <v>1593923.85</v>
      </c>
      <c r="E73" s="7">
        <f>IRR((C$3:C73,D73),-10%)</f>
        <v>0.0340145693961824</v>
      </c>
      <c r="G73" s="4"/>
      <c r="H73" s="5"/>
      <c r="I73" s="6"/>
      <c r="J73" s="6"/>
      <c r="K73" s="7"/>
      <c r="M73" s="4"/>
      <c r="N73" s="5"/>
      <c r="O73" s="6"/>
      <c r="P73" s="6"/>
      <c r="Q73" s="7"/>
    </row>
    <row r="74" spans="1:17">
      <c r="A74" s="4">
        <v>2094</v>
      </c>
      <c r="B74" s="5">
        <v>72</v>
      </c>
      <c r="C74" s="6">
        <f t="shared" si="1"/>
        <v>0</v>
      </c>
      <c r="D74" s="6">
        <v>1649711.18</v>
      </c>
      <c r="E74" s="7">
        <f>IRR((C$3:C74,D74),-10%)</f>
        <v>0.0340300552586854</v>
      </c>
      <c r="G74" s="4"/>
      <c r="H74" s="5"/>
      <c r="I74" s="6"/>
      <c r="J74" s="6"/>
      <c r="K74" s="7"/>
      <c r="M74" s="4"/>
      <c r="N74" s="5"/>
      <c r="O74" s="6"/>
      <c r="P74" s="6"/>
      <c r="Q74" s="7"/>
    </row>
    <row r="75" spans="1:17">
      <c r="A75" s="4">
        <v>2095</v>
      </c>
      <c r="B75" s="5">
        <v>73</v>
      </c>
      <c r="C75" s="6">
        <f t="shared" si="1"/>
        <v>0</v>
      </c>
      <c r="D75" s="6">
        <v>1707451.08</v>
      </c>
      <c r="E75" s="7">
        <f>IRR((C$3:C75,D75),-10%)</f>
        <v>0.034045061951349</v>
      </c>
      <c r="G75" s="4"/>
      <c r="H75" s="5"/>
      <c r="I75" s="6"/>
      <c r="J75" s="6"/>
      <c r="K75" s="7"/>
      <c r="M75" s="4"/>
      <c r="N75" s="5"/>
      <c r="O75" s="6"/>
      <c r="P75" s="6"/>
      <c r="Q75" s="7"/>
    </row>
    <row r="76" spans="1:17">
      <c r="A76" s="4">
        <v>2096</v>
      </c>
      <c r="B76" s="5">
        <v>74</v>
      </c>
      <c r="C76" s="6">
        <f t="shared" si="1"/>
        <v>0</v>
      </c>
      <c r="D76" s="6">
        <v>1767211.86</v>
      </c>
      <c r="E76" s="7">
        <f>IRR((C$3:C76,D76),-10%)</f>
        <v>0.0340596111104501</v>
      </c>
      <c r="G76" s="4"/>
      <c r="H76" s="5"/>
      <c r="I76" s="6"/>
      <c r="J76" s="6"/>
      <c r="K76" s="7"/>
      <c r="M76" s="4"/>
      <c r="N76" s="5"/>
      <c r="O76" s="6"/>
      <c r="P76" s="6"/>
      <c r="Q76" s="7"/>
    </row>
    <row r="77" spans="1:17">
      <c r="A77" s="4">
        <v>2097</v>
      </c>
      <c r="B77" s="5">
        <v>75</v>
      </c>
      <c r="C77" s="6">
        <f t="shared" si="1"/>
        <v>0</v>
      </c>
      <c r="D77" s="6">
        <v>1829064.28</v>
      </c>
      <c r="E77" s="7">
        <f>IRR((C$3:C77,D77),-10%)</f>
        <v>0.0340737236017583</v>
      </c>
      <c r="G77" s="4"/>
      <c r="H77" s="5"/>
      <c r="I77" s="6"/>
      <c r="J77" s="6"/>
      <c r="K77" s="7"/>
      <c r="M77" s="4"/>
      <c r="N77" s="5"/>
      <c r="O77" s="6"/>
      <c r="P77" s="6"/>
      <c r="Q77" s="7"/>
    </row>
    <row r="78" spans="1:17">
      <c r="A78" s="4">
        <v>2098</v>
      </c>
      <c r="B78" s="5">
        <v>76</v>
      </c>
      <c r="C78" s="6">
        <f t="shared" si="1"/>
        <v>0</v>
      </c>
      <c r="D78" s="6">
        <v>1893081.53</v>
      </c>
      <c r="E78" s="7">
        <f>IRR((C$3:C78,D78),-10%)</f>
        <v>0.0340874186544491</v>
      </c>
      <c r="G78" s="4"/>
      <c r="H78" s="5"/>
      <c r="I78" s="6"/>
      <c r="J78" s="6"/>
      <c r="K78" s="7"/>
      <c r="M78" s="4"/>
      <c r="N78" s="5"/>
      <c r="O78" s="6"/>
      <c r="P78" s="6"/>
      <c r="Q78" s="7"/>
    </row>
    <row r="79" spans="1:17">
      <c r="A79" s="4">
        <v>2099</v>
      </c>
      <c r="B79" s="5">
        <v>77</v>
      </c>
      <c r="C79" s="6">
        <f t="shared" si="1"/>
        <v>0</v>
      </c>
      <c r="D79" s="6">
        <v>1959339.38</v>
      </c>
      <c r="E79" s="7">
        <f>IRR((C$3:C79,D79),-10%)</f>
        <v>0.034100714531891</v>
      </c>
      <c r="G79" s="4"/>
      <c r="H79" s="5"/>
      <c r="I79" s="6"/>
      <c r="J79" s="6"/>
      <c r="K79" s="7"/>
      <c r="M79" s="4"/>
      <c r="N79" s="5"/>
      <c r="O79" s="6"/>
      <c r="P79" s="6"/>
      <c r="Q79" s="7"/>
    </row>
    <row r="80" spans="1:17">
      <c r="A80" s="4">
        <v>2100</v>
      </c>
      <c r="B80" s="5">
        <v>78</v>
      </c>
      <c r="C80" s="6">
        <f t="shared" si="1"/>
        <v>0</v>
      </c>
      <c r="D80" s="6">
        <v>2027916.26</v>
      </c>
      <c r="E80" s="7">
        <f>IRR((C$3:C80,D80),-10%)</f>
        <v>0.0341136285058528</v>
      </c>
      <c r="G80" s="4"/>
      <c r="H80" s="5"/>
      <c r="I80" s="6"/>
      <c r="J80" s="6"/>
      <c r="K80" s="7"/>
      <c r="M80" s="4"/>
      <c r="N80" s="5"/>
      <c r="O80" s="6"/>
      <c r="P80" s="6"/>
      <c r="Q80" s="7"/>
    </row>
    <row r="81" spans="1:17">
      <c r="A81" s="4">
        <v>2101</v>
      </c>
      <c r="B81" s="5">
        <v>79</v>
      </c>
      <c r="C81" s="6">
        <f t="shared" si="1"/>
        <v>0</v>
      </c>
      <c r="D81" s="6">
        <v>2098893.33</v>
      </c>
      <c r="E81" s="7">
        <f>IRR((C$3:C81,D81),-10%)</f>
        <v>0.0341261767577403</v>
      </c>
      <c r="G81" s="4"/>
      <c r="H81" s="5"/>
      <c r="I81" s="6"/>
      <c r="J81" s="6"/>
      <c r="K81" s="7"/>
      <c r="M81" s="4"/>
      <c r="N81" s="5"/>
      <c r="O81" s="6"/>
      <c r="P81" s="6"/>
      <c r="Q81" s="7"/>
    </row>
    <row r="82" spans="1:17">
      <c r="A82" s="4">
        <v>2102</v>
      </c>
      <c r="B82" s="5">
        <v>80</v>
      </c>
      <c r="C82" s="6">
        <f t="shared" si="1"/>
        <v>0</v>
      </c>
      <c r="D82" s="6">
        <v>2172354.6</v>
      </c>
      <c r="E82" s="7">
        <f>IRR((C$3:C82,D82),-10%)</f>
        <v>0.0341383746317496</v>
      </c>
      <c r="G82" s="4"/>
      <c r="H82" s="5"/>
      <c r="I82" s="6"/>
      <c r="J82" s="6"/>
      <c r="K82" s="7"/>
      <c r="M82" s="4"/>
      <c r="N82" s="5"/>
      <c r="O82" s="6"/>
      <c r="P82" s="6"/>
      <c r="Q82" s="7"/>
    </row>
    <row r="83" spans="1:17">
      <c r="A83" s="4">
        <v>2103</v>
      </c>
      <c r="B83" s="5">
        <v>81</v>
      </c>
      <c r="C83" s="6">
        <f t="shared" si="1"/>
        <v>0</v>
      </c>
      <c r="D83" s="6">
        <v>2248387.01</v>
      </c>
      <c r="E83" s="7">
        <f>IRR((C$3:C83,D83),-10%)</f>
        <v>0.0341502365588089</v>
      </c>
      <c r="G83" s="4"/>
      <c r="H83" s="5"/>
      <c r="I83" s="6"/>
      <c r="J83" s="6"/>
      <c r="K83" s="7"/>
      <c r="M83" s="4"/>
      <c r="N83" s="5"/>
      <c r="O83" s="6"/>
      <c r="P83" s="6"/>
      <c r="Q83" s="7"/>
    </row>
    <row r="84" spans="1:17">
      <c r="A84" s="4">
        <v>2104</v>
      </c>
      <c r="B84" s="5">
        <v>82</v>
      </c>
      <c r="C84" s="6">
        <f t="shared" si="1"/>
        <v>0</v>
      </c>
      <c r="D84" s="6">
        <v>2327080.55</v>
      </c>
      <c r="E84" s="7">
        <f>IRR((C$3:C84,D84),-10%)</f>
        <v>0.0341617762328819</v>
      </c>
      <c r="G84" s="4"/>
      <c r="H84" s="5"/>
      <c r="I84" s="6"/>
      <c r="J84" s="6"/>
      <c r="K84" s="7"/>
      <c r="M84" s="4"/>
      <c r="N84" s="5"/>
      <c r="O84" s="6"/>
      <c r="P84" s="6"/>
      <c r="Q84" s="7"/>
    </row>
    <row r="85" spans="1:17">
      <c r="A85" s="4">
        <v>2105</v>
      </c>
      <c r="B85" s="5">
        <v>83</v>
      </c>
      <c r="C85" s="6">
        <f t="shared" si="1"/>
        <v>0</v>
      </c>
      <c r="D85" s="6">
        <v>2408528.37</v>
      </c>
      <c r="E85" s="7">
        <f>IRR((C$3:C85,D85),-10%)</f>
        <v>0.034173006673065</v>
      </c>
      <c r="G85" s="4"/>
      <c r="H85" s="5"/>
      <c r="I85" s="6"/>
      <c r="J85" s="6"/>
      <c r="K85" s="7"/>
      <c r="M85" s="4"/>
      <c r="N85" s="5"/>
      <c r="O85" s="6"/>
      <c r="P85" s="6"/>
      <c r="Q85" s="7"/>
    </row>
    <row r="86" spans="1:17">
      <c r="A86" s="4">
        <v>2106</v>
      </c>
      <c r="B86" s="5">
        <v>84</v>
      </c>
      <c r="C86" s="6">
        <f t="shared" si="1"/>
        <v>0</v>
      </c>
      <c r="D86" s="6">
        <v>2492826.86</v>
      </c>
      <c r="E86" s="7">
        <f>IRR((C$3:C86,D86),-10%)</f>
        <v>0.0341839400923794</v>
      </c>
      <c r="G86" s="4"/>
      <c r="H86" s="5"/>
      <c r="I86" s="6"/>
      <c r="J86" s="6"/>
      <c r="K86" s="7"/>
      <c r="M86" s="4"/>
      <c r="N86" s="5"/>
      <c r="O86" s="6"/>
      <c r="P86" s="6"/>
      <c r="Q86" s="7"/>
    </row>
    <row r="87" spans="1:17">
      <c r="A87" s="4">
        <v>2107</v>
      </c>
      <c r="B87" s="5">
        <v>85</v>
      </c>
      <c r="C87" s="6">
        <f t="shared" si="1"/>
        <v>0</v>
      </c>
      <c r="D87" s="6">
        <v>2580075.81</v>
      </c>
      <c r="E87" s="7">
        <f>IRR((C$3:C87,D87),-10%)</f>
        <v>0.0341945882094632</v>
      </c>
      <c r="G87" s="4"/>
      <c r="H87" s="5"/>
      <c r="I87" s="6"/>
      <c r="J87" s="6"/>
      <c r="K87" s="7"/>
      <c r="M87" s="4"/>
      <c r="N87" s="5"/>
      <c r="O87" s="6"/>
      <c r="P87" s="6"/>
      <c r="Q87" s="7"/>
    </row>
    <row r="88" spans="1:17">
      <c r="A88" s="4">
        <v>2108</v>
      </c>
      <c r="B88" s="5">
        <v>86</v>
      </c>
      <c r="C88" s="6">
        <f t="shared" ref="C88:C108" si="2">C87</f>
        <v>0</v>
      </c>
      <c r="D88" s="6">
        <v>2670378.46</v>
      </c>
      <c r="E88" s="7">
        <f>IRR((C$3:C88,D88),-10%)</f>
        <v>0.0342049619173357</v>
      </c>
      <c r="G88" s="4"/>
      <c r="H88" s="5"/>
      <c r="I88" s="6"/>
      <c r="J88" s="6"/>
      <c r="K88" s="7"/>
      <c r="M88" s="4"/>
      <c r="N88" s="5"/>
      <c r="O88" s="6"/>
      <c r="P88" s="6"/>
      <c r="Q88" s="7"/>
    </row>
    <row r="89" spans="1:17">
      <c r="A89" s="4">
        <v>2109</v>
      </c>
      <c r="B89" s="5">
        <v>87</v>
      </c>
      <c r="C89" s="6">
        <f t="shared" si="2"/>
        <v>0</v>
      </c>
      <c r="D89" s="6">
        <v>2763841.7</v>
      </c>
      <c r="E89" s="7">
        <f>IRR((C$3:C89,D89),-10%)</f>
        <v>0.0342150717421614</v>
      </c>
      <c r="G89" s="4"/>
      <c r="H89" s="5"/>
      <c r="I89" s="6"/>
      <c r="J89" s="6"/>
      <c r="K89" s="7"/>
      <c r="M89" s="4"/>
      <c r="N89" s="5"/>
      <c r="O89" s="6"/>
      <c r="P89" s="6"/>
      <c r="Q89" s="7"/>
    </row>
    <row r="90" spans="1:17">
      <c r="A90" s="4">
        <v>2110</v>
      </c>
      <c r="B90" s="5">
        <v>88</v>
      </c>
      <c r="C90" s="6">
        <f t="shared" si="2"/>
        <v>0</v>
      </c>
      <c r="D90" s="6">
        <v>2860576.16</v>
      </c>
      <c r="E90" s="7">
        <f>IRR((C$3:C90,D90),-10%)</f>
        <v>0.0342249276707156</v>
      </c>
      <c r="G90" s="4"/>
      <c r="H90" s="5"/>
      <c r="I90" s="6"/>
      <c r="J90" s="6"/>
      <c r="K90" s="7"/>
      <c r="M90" s="4"/>
      <c r="N90" s="5"/>
      <c r="O90" s="6"/>
      <c r="P90" s="6"/>
      <c r="Q90" s="7"/>
    </row>
    <row r="91" spans="1:17">
      <c r="A91" s="4">
        <v>2111</v>
      </c>
      <c r="B91" s="5">
        <v>89</v>
      </c>
      <c r="C91" s="6">
        <f t="shared" si="2"/>
        <v>0</v>
      </c>
      <c r="D91" s="6">
        <v>2960696.33</v>
      </c>
      <c r="E91" s="7">
        <f>IRR((C$3:C91,D91),-10%)</f>
        <v>0.0342345391376562</v>
      </c>
      <c r="G91" s="4"/>
      <c r="H91" s="5"/>
      <c r="I91" s="6"/>
      <c r="J91" s="6"/>
      <c r="K91" s="7"/>
      <c r="M91" s="4"/>
      <c r="N91" s="5"/>
      <c r="O91" s="6"/>
      <c r="P91" s="6"/>
      <c r="Q91" s="7"/>
    </row>
    <row r="92" spans="1:17">
      <c r="A92" s="4">
        <v>2112</v>
      </c>
      <c r="B92" s="5">
        <v>90</v>
      </c>
      <c r="C92" s="6">
        <f t="shared" si="2"/>
        <v>0</v>
      </c>
      <c r="D92" s="6">
        <v>3064320.7</v>
      </c>
      <c r="E92" s="7">
        <f>IRR((C$3:C92,D92),-10%)</f>
        <v>0.0342439150868852</v>
      </c>
      <c r="G92" s="4"/>
      <c r="H92" s="5"/>
      <c r="I92" s="6"/>
      <c r="J92" s="6"/>
      <c r="K92" s="7"/>
      <c r="M92" s="4"/>
      <c r="N92" s="5"/>
      <c r="O92" s="6"/>
      <c r="P92" s="6"/>
      <c r="Q92" s="7"/>
    </row>
    <row r="93" spans="1:17">
      <c r="A93" s="4">
        <v>2113</v>
      </c>
      <c r="B93" s="5">
        <v>91</v>
      </c>
      <c r="C93" s="6">
        <f t="shared" si="2"/>
        <v>0</v>
      </c>
      <c r="D93" s="6">
        <v>3171571.93</v>
      </c>
      <c r="E93" s="7">
        <f>IRR((C$3:C93,D93),-10%)</f>
        <v>0.0342530641235432</v>
      </c>
      <c r="G93" s="4"/>
      <c r="H93" s="5"/>
      <c r="I93" s="6"/>
      <c r="J93" s="6"/>
      <c r="K93" s="7"/>
      <c r="M93" s="4"/>
      <c r="N93" s="5"/>
      <c r="O93" s="6"/>
      <c r="P93" s="6"/>
      <c r="Q93" s="7"/>
    </row>
    <row r="94" spans="1:17">
      <c r="A94" s="4">
        <v>2114</v>
      </c>
      <c r="B94" s="5">
        <v>92</v>
      </c>
      <c r="C94" s="6">
        <f t="shared" si="2"/>
        <v>0</v>
      </c>
      <c r="D94" s="6">
        <v>3282576.94</v>
      </c>
      <c r="E94" s="7">
        <f>IRR((C$3:C94,D94),-10%)</f>
        <v>0.0342619943111129</v>
      </c>
      <c r="G94" s="4"/>
      <c r="H94" s="5"/>
      <c r="I94" s="6"/>
      <c r="J94" s="6"/>
      <c r="K94" s="7"/>
      <c r="M94" s="4"/>
      <c r="N94" s="5"/>
      <c r="O94" s="6"/>
      <c r="P94" s="6"/>
      <c r="Q94" s="7"/>
    </row>
    <row r="95" spans="1:17">
      <c r="A95" s="4">
        <v>2115</v>
      </c>
      <c r="B95" s="5">
        <v>93</v>
      </c>
      <c r="C95" s="6">
        <f t="shared" si="2"/>
        <v>0</v>
      </c>
      <c r="D95" s="6">
        <v>3397467.14</v>
      </c>
      <c r="E95" s="7">
        <f>IRR((C$3:C95,D95),-10%)</f>
        <v>0.0342707135115146</v>
      </c>
      <c r="G95" s="4"/>
      <c r="H95" s="5"/>
      <c r="I95" s="6"/>
      <c r="J95" s="6"/>
      <c r="K95" s="7"/>
      <c r="M95" s="4"/>
      <c r="N95" s="5"/>
      <c r="O95" s="6"/>
      <c r="P95" s="6"/>
      <c r="Q95" s="7"/>
    </row>
    <row r="96" spans="1:17">
      <c r="A96" s="4">
        <v>2116</v>
      </c>
      <c r="B96" s="5">
        <v>94</v>
      </c>
      <c r="C96" s="6">
        <f t="shared" si="2"/>
        <v>0</v>
      </c>
      <c r="D96" s="6">
        <v>3516378.49</v>
      </c>
      <c r="E96" s="7">
        <f>IRR((C$3:C96,D96),-10%)</f>
        <v>0.0342792290396143</v>
      </c>
      <c r="G96" s="4"/>
      <c r="H96" s="5"/>
      <c r="I96" s="6"/>
      <c r="J96" s="6"/>
      <c r="K96" s="7"/>
      <c r="M96" s="4"/>
      <c r="N96" s="5"/>
      <c r="O96" s="6"/>
      <c r="P96" s="6"/>
      <c r="Q96" s="7"/>
    </row>
    <row r="97" spans="1:17">
      <c r="A97" s="4">
        <v>2117</v>
      </c>
      <c r="B97" s="5">
        <v>95</v>
      </c>
      <c r="C97" s="6">
        <f t="shared" si="2"/>
        <v>0</v>
      </c>
      <c r="D97" s="6">
        <v>3639451.73</v>
      </c>
      <c r="E97" s="7">
        <f>IRR((C$3:C97,D97),-10%)</f>
        <v>0.0342875479502895</v>
      </c>
      <c r="G97" s="4"/>
      <c r="H97" s="5"/>
      <c r="I97" s="6"/>
      <c r="J97" s="6"/>
      <c r="K97" s="7"/>
      <c r="M97" s="4"/>
      <c r="N97" s="5"/>
      <c r="O97" s="6"/>
      <c r="P97" s="6"/>
      <c r="Q97" s="7"/>
    </row>
    <row r="98" spans="1:17">
      <c r="A98" s="4">
        <v>2118</v>
      </c>
      <c r="B98" s="5">
        <v>96</v>
      </c>
      <c r="C98" s="6">
        <f t="shared" si="2"/>
        <v>0</v>
      </c>
      <c r="D98" s="6">
        <v>3766832.54</v>
      </c>
      <c r="E98" s="7">
        <f>IRR((C$3:C98,D98),-10%)</f>
        <v>0.0342956770204965</v>
      </c>
      <c r="G98" s="4"/>
      <c r="H98" s="5"/>
      <c r="I98" s="6"/>
      <c r="J98" s="6"/>
      <c r="K98" s="7"/>
      <c r="M98" s="4"/>
      <c r="N98" s="5"/>
      <c r="O98" s="6"/>
      <c r="P98" s="6"/>
      <c r="Q98" s="7"/>
    </row>
    <row r="99" spans="1:17">
      <c r="A99" s="4">
        <v>2119</v>
      </c>
      <c r="B99" s="5">
        <v>97</v>
      </c>
      <c r="C99" s="6">
        <f t="shared" si="2"/>
        <v>0</v>
      </c>
      <c r="D99" s="6">
        <v>3898671.68</v>
      </c>
      <c r="E99" s="7">
        <f>IRR((C$3:C99,D99),-10%)</f>
        <v>0.0343036226605433</v>
      </c>
      <c r="G99" s="4"/>
      <c r="H99" s="5"/>
      <c r="I99" s="6"/>
      <c r="J99" s="6"/>
      <c r="K99" s="7"/>
      <c r="M99" s="4"/>
      <c r="N99" s="5"/>
      <c r="O99" s="6"/>
      <c r="P99" s="6"/>
      <c r="Q99" s="7"/>
    </row>
    <row r="100" spans="1:17">
      <c r="A100" s="4">
        <v>2120</v>
      </c>
      <c r="B100" s="5">
        <v>98</v>
      </c>
      <c r="C100" s="6">
        <f t="shared" si="2"/>
        <v>0</v>
      </c>
      <c r="D100" s="6">
        <v>4035125.19</v>
      </c>
      <c r="E100" s="7">
        <f>IRR((C$3:C100,D100),-10%)</f>
        <v>0.0343113910058921</v>
      </c>
      <c r="G100" s="4"/>
      <c r="H100" s="5"/>
      <c r="I100" s="6"/>
      <c r="J100" s="6"/>
      <c r="K100" s="7"/>
      <c r="M100" s="4"/>
      <c r="N100" s="5"/>
      <c r="O100" s="6"/>
      <c r="P100" s="6"/>
      <c r="Q100" s="7"/>
    </row>
    <row r="101" spans="1:17">
      <c r="A101" s="4">
        <v>2121</v>
      </c>
      <c r="B101" s="5">
        <v>99</v>
      </c>
      <c r="C101" s="6">
        <f t="shared" si="2"/>
        <v>0</v>
      </c>
      <c r="D101" s="6">
        <v>4176354.57</v>
      </c>
      <c r="E101" s="7">
        <f>IRR((C$3:C101,D101),-10%)</f>
        <v>0.0343189879177626</v>
      </c>
      <c r="G101" s="4"/>
      <c r="H101" s="5"/>
      <c r="I101" s="6"/>
      <c r="J101" s="6"/>
      <c r="K101" s="7"/>
      <c r="M101" s="4"/>
      <c r="N101" s="5"/>
      <c r="O101" s="6"/>
      <c r="P101" s="6"/>
      <c r="Q101" s="7"/>
    </row>
    <row r="102" spans="1:17">
      <c r="A102" s="4">
        <v>2122</v>
      </c>
      <c r="B102" s="5">
        <v>100</v>
      </c>
      <c r="C102" s="6">
        <f t="shared" si="2"/>
        <v>0</v>
      </c>
      <c r="D102" s="6">
        <v>4322226.98</v>
      </c>
      <c r="E102" s="7">
        <f>IRR((C$3:C102,D102),-10%)</f>
        <v>0.0343256354199974</v>
      </c>
      <c r="G102" s="4"/>
      <c r="H102" s="5"/>
      <c r="I102" s="6"/>
      <c r="J102" s="6"/>
      <c r="K102" s="7"/>
      <c r="M102" s="4"/>
      <c r="N102" s="5"/>
      <c r="O102" s="6"/>
      <c r="P102" s="6"/>
      <c r="Q102" s="7"/>
    </row>
    <row r="103" spans="1:17">
      <c r="A103" s="4">
        <v>2123</v>
      </c>
      <c r="B103" s="5">
        <v>101</v>
      </c>
      <c r="C103" s="6">
        <f t="shared" si="2"/>
        <v>0</v>
      </c>
      <c r="D103" s="6">
        <v>4473815.43</v>
      </c>
      <c r="E103" s="7">
        <f>IRR((C$3:C103,D103),-10%)</f>
        <v>0.0343336896982358</v>
      </c>
      <c r="G103" s="4"/>
      <c r="H103" s="5"/>
      <c r="I103" s="6"/>
      <c r="J103" s="6"/>
      <c r="K103" s="7"/>
      <c r="M103" s="4"/>
      <c r="N103" s="5"/>
      <c r="O103" s="6"/>
      <c r="P103" s="6"/>
      <c r="Q103" s="7"/>
    </row>
    <row r="104" spans="1:17">
      <c r="A104" s="4">
        <v>2124</v>
      </c>
      <c r="B104" s="5">
        <v>102</v>
      </c>
      <c r="C104" s="6">
        <f t="shared" si="2"/>
        <v>0</v>
      </c>
      <c r="D104" s="6">
        <v>4630495.97</v>
      </c>
      <c r="E104" s="7">
        <f>IRR((C$3:C104,D104),-10%)</f>
        <v>0.0343410365165946</v>
      </c>
      <c r="G104" s="4"/>
      <c r="H104" s="5"/>
      <c r="I104" s="6"/>
      <c r="J104" s="6"/>
      <c r="K104" s="7"/>
      <c r="M104" s="4"/>
      <c r="N104" s="5"/>
      <c r="O104" s="6"/>
      <c r="P104" s="6"/>
      <c r="Q104" s="7"/>
    </row>
    <row r="105" spans="1:17">
      <c r="A105" s="4">
        <v>2125</v>
      </c>
      <c r="B105" s="5">
        <v>103</v>
      </c>
      <c r="C105" s="6">
        <f t="shared" si="2"/>
        <v>0</v>
      </c>
      <c r="D105" s="6">
        <v>4792462.93</v>
      </c>
      <c r="E105" s="7">
        <f>IRR((C$3:C105,D105),-10%)</f>
        <v>0.0343477700346846</v>
      </c>
      <c r="G105" s="4"/>
      <c r="H105" s="5"/>
      <c r="I105" s="6"/>
      <c r="J105" s="6"/>
      <c r="K105" s="7"/>
      <c r="M105" s="4"/>
      <c r="N105" s="5"/>
      <c r="O105" s="6"/>
      <c r="P105" s="6"/>
      <c r="Q105" s="7"/>
    </row>
    <row r="106" spans="1:17">
      <c r="A106" s="4">
        <v>2126</v>
      </c>
      <c r="B106" s="5">
        <v>104</v>
      </c>
      <c r="C106" s="6">
        <f t="shared" si="2"/>
        <v>0</v>
      </c>
      <c r="D106" s="6">
        <v>4960199.13</v>
      </c>
      <c r="E106" s="7">
        <f>IRR((C$3:C106,D106),-10%)</f>
        <v>0.034354589354364</v>
      </c>
      <c r="G106" s="4"/>
      <c r="H106" s="5"/>
      <c r="I106" s="6"/>
      <c r="J106" s="6"/>
      <c r="K106" s="7"/>
      <c r="M106" s="4"/>
      <c r="N106" s="5"/>
      <c r="O106" s="6"/>
      <c r="P106" s="6"/>
      <c r="Q106" s="7"/>
    </row>
    <row r="107" spans="1:17">
      <c r="A107" s="4">
        <v>2127</v>
      </c>
      <c r="B107" s="5">
        <v>105</v>
      </c>
      <c r="C107" s="6">
        <f t="shared" si="2"/>
        <v>0</v>
      </c>
      <c r="D107" s="6">
        <v>5133806.1</v>
      </c>
      <c r="E107" s="7">
        <f>IRR((C$3:C107,D107),-10%)</f>
        <v>0.0343612675438909</v>
      </c>
      <c r="G107" s="4"/>
      <c r="H107" s="5"/>
      <c r="I107" s="6"/>
      <c r="J107" s="6"/>
      <c r="K107" s="7"/>
      <c r="M107" s="4"/>
      <c r="N107" s="5"/>
      <c r="O107" s="6"/>
      <c r="P107" s="6"/>
      <c r="Q107" s="7"/>
    </row>
    <row r="108" spans="1:17">
      <c r="A108" s="4">
        <v>2128</v>
      </c>
      <c r="B108" s="5">
        <v>106</v>
      </c>
      <c r="C108" s="6">
        <f t="shared" si="2"/>
        <v>0</v>
      </c>
      <c r="D108" s="6">
        <v>5222875.06</v>
      </c>
      <c r="E108" s="7">
        <f>IRR((C$3:C108,D108),-10%)</f>
        <v>0.0341855540674565</v>
      </c>
      <c r="G108" s="4"/>
      <c r="H108" s="5"/>
      <c r="I108" s="6"/>
      <c r="J108" s="6"/>
      <c r="K108" s="7"/>
      <c r="M108" s="4"/>
      <c r="N108" s="5"/>
      <c r="O108" s="6"/>
      <c r="P108" s="6"/>
      <c r="Q108" s="7"/>
    </row>
  </sheetData>
  <mergeCells count="3">
    <mergeCell ref="A1:E1"/>
    <mergeCell ref="G1:K1"/>
    <mergeCell ref="M1:Q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现金流</vt:lpstr>
      <vt:lpstr>三个保单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刘宇斌Marc</cp:lastModifiedBy>
  <dcterms:created xsi:type="dcterms:W3CDTF">2023-05-13T03:15:00Z</dcterms:created>
  <dcterms:modified xsi:type="dcterms:W3CDTF">2026-03-14T13:43:19Z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EM_Doc_Temp_ID">
    <vt:lpwstr>FFC10583-25F4-4D05-A611-ED252C03AE24</vt:lpwstr>
  </property>
  <property fmtid="{D5CDD505-2E9C-101B-9397-08002B2CF9AE}" pid="4" name="ICV">
    <vt:lpwstr>4FEAC7ABF5ACD0E73E2DB4693B292A40_43</vt:lpwstr>
  </property>
  <property fmtid="{D5CDD505-2E9C-101B-9397-08002B2CF9AE}" pid="5" name="CalculationRule">
    <vt:i4>0</vt:i4>
  </property>
  <property fmtid="{D5CDD505-2E9C-101B-9397-08002B2CF9AE}" pid="6" name="KSOReadingLayout">
    <vt:bool>true</vt:bool>
  </property>
</Properties>
</file>